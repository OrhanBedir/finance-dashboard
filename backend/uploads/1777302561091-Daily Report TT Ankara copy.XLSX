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BuÇalışmaKitabı"/>
  <mc:AlternateContent xmlns:mc="http://schemas.openxmlformats.org/markup-compatibility/2006">
    <mc:Choice Requires="x15">
      <x15ac:absPath xmlns:x15ac="http://schemas.microsoft.com/office/spreadsheetml/2010/11/ac" url="/Users/orhanbedir/Desktop/Daily Repor/"/>
    </mc:Choice>
  </mc:AlternateContent>
  <xr:revisionPtr revIDLastSave="0" documentId="13_ncr:1_{35F69A19-707A-F84C-B28A-B0F8E1EA217B}" xr6:coauthVersionLast="47" xr6:coauthVersionMax="47" xr10:uidLastSave="{00000000-0000-0000-0000-000000000000}"/>
  <bookViews>
    <workbookView xWindow="0" yWindow="660" windowWidth="30240" windowHeight="18980" activeTab="1" xr2:uid="{00000000-000D-0000-FFFF-FFFF00000000}"/>
  </bookViews>
  <sheets>
    <sheet name="Summary" sheetId="1" state="hidden" r:id="rId1"/>
    <sheet name="5G" sheetId="3" r:id="rId2"/>
    <sheet name="Sayfa2" sheetId="8" state="hidden" r:id="rId3"/>
  </sheets>
  <definedNames>
    <definedName name="_xlnm._FilterDatabase" localSheetId="1" hidden="1">'5G'!$A$1:$L$75</definedName>
    <definedName name="_xlnm._FilterDatabase" localSheetId="2" hidden="1">Sayfa2!$A$1:$T$46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G27" i="1" l="1"/>
  <c r="G28" i="1"/>
  <c r="G26" i="1"/>
  <c r="G17" i="1"/>
  <c r="G18" i="1"/>
  <c r="G16" i="1"/>
  <c r="G7" i="1"/>
  <c r="G9" i="1"/>
  <c r="G10" i="1"/>
  <c r="G6" i="1"/>
  <c r="H30" i="1" l="1"/>
  <c r="E30" i="1"/>
  <c r="H29" i="1"/>
  <c r="E29" i="1"/>
  <c r="H28" i="1"/>
  <c r="E28" i="1"/>
  <c r="H27" i="1"/>
  <c r="E27" i="1"/>
  <c r="H26" i="1"/>
  <c r="E26" i="1"/>
  <c r="H20" i="1"/>
  <c r="E20" i="1"/>
  <c r="H19" i="1"/>
  <c r="E19" i="1"/>
  <c r="H18" i="1"/>
  <c r="E18" i="1"/>
  <c r="H17" i="1"/>
  <c r="E17" i="1"/>
  <c r="H16" i="1"/>
  <c r="E16" i="1"/>
  <c r="H10" i="1" l="1"/>
  <c r="E10" i="1"/>
  <c r="H9" i="1"/>
  <c r="E9" i="1"/>
  <c r="H8" i="1"/>
  <c r="E8" i="1"/>
  <c r="H7" i="1"/>
  <c r="E7" i="1"/>
  <c r="H6" i="1"/>
  <c r="E6" i="1"/>
</calcChain>
</file>

<file path=xl/sharedStrings.xml><?xml version="1.0" encoding="utf-8"?>
<sst xmlns="http://schemas.openxmlformats.org/spreadsheetml/2006/main" count="1379" uniqueCount="426">
  <si>
    <t>Target</t>
  </si>
  <si>
    <t>Actual</t>
  </si>
  <si>
    <t>%</t>
  </si>
  <si>
    <t>∆</t>
  </si>
  <si>
    <t>RF STATUS</t>
  </si>
  <si>
    <t>RF Equipment (BTS@DBS) Received</t>
  </si>
  <si>
    <t>RF Installation Started</t>
  </si>
  <si>
    <t>RF Installation Finished</t>
  </si>
  <si>
    <t xml:space="preserve"> Acceptance</t>
  </si>
  <si>
    <t>PO Status(Closed)</t>
  </si>
  <si>
    <t>Site Code</t>
  </si>
  <si>
    <t>İL</t>
  </si>
  <si>
    <t>RF Subcon</t>
  </si>
  <si>
    <t>RF Started Date</t>
  </si>
  <si>
    <t>RF Finished Date</t>
  </si>
  <si>
    <t>Site Type</t>
  </si>
  <si>
    <t>TC İzmir PLAN TOTAL</t>
  </si>
  <si>
    <t>5G PLAN</t>
  </si>
  <si>
    <t>OK</t>
  </si>
  <si>
    <t>KULE</t>
  </si>
  <si>
    <t>Week47</t>
  </si>
  <si>
    <t>Week48</t>
  </si>
  <si>
    <t>TC Ankara PLAN TOTAL</t>
  </si>
  <si>
    <t>TC Antalya PLAN TOTAL</t>
  </si>
  <si>
    <t>MERKEZ</t>
  </si>
  <si>
    <t>CLOSED</t>
  </si>
  <si>
    <t>Kemalpaşa</t>
  </si>
  <si>
    <t>Gaziemir</t>
  </si>
  <si>
    <t>Bornova</t>
  </si>
  <si>
    <t>Bayraklı</t>
  </si>
  <si>
    <t>Aliağa</t>
  </si>
  <si>
    <t>İLÇE</t>
  </si>
  <si>
    <t>Malzeme 
Status</t>
  </si>
  <si>
    <t>ENDER TEKE</t>
  </si>
  <si>
    <t>YSKSD</t>
  </si>
  <si>
    <t>TEOSS</t>
  </si>
  <si>
    <t>Seferihisar</t>
  </si>
  <si>
    <t>DIKDE</t>
  </si>
  <si>
    <t>Dikili</t>
  </si>
  <si>
    <t>SOMBE</t>
  </si>
  <si>
    <t>Soma</t>
  </si>
  <si>
    <t>INNOK</t>
  </si>
  <si>
    <t>Karabağlar</t>
  </si>
  <si>
    <t>KULME</t>
  </si>
  <si>
    <t>Kula</t>
  </si>
  <si>
    <t>TORKE</t>
  </si>
  <si>
    <t>Torbalı</t>
  </si>
  <si>
    <t>AYORT</t>
  </si>
  <si>
    <t>TRAYK</t>
  </si>
  <si>
    <t>ALATR</t>
  </si>
  <si>
    <t>Alaşehir</t>
  </si>
  <si>
    <t>PLAN HAFTA</t>
  </si>
  <si>
    <t>UFUK YAVUZ</t>
  </si>
  <si>
    <t>İBRAHİM MESTAN</t>
  </si>
  <si>
    <t>Site</t>
  </si>
  <si>
    <t>Bölge</t>
  </si>
  <si>
    <t>Site Status TRC</t>
  </si>
  <si>
    <t>Montaj Subcon bu kalacak</t>
  </si>
  <si>
    <t xml:space="preserve">Malzeme  </t>
  </si>
  <si>
    <t>SAHA ALT YAPI TIP</t>
  </si>
  <si>
    <t>ANTEN_GIZLEME_DURUMU</t>
  </si>
  <si>
    <t>Anten 1 aralık</t>
  </si>
  <si>
    <t>ANTEN MODEL 1 aralık</t>
  </si>
  <si>
    <t xml:space="preserve">AKSİYON </t>
  </si>
  <si>
    <t>Aksiyon Sorumlusu</t>
  </si>
  <si>
    <t>AKSİYON PLAN TARİH</t>
  </si>
  <si>
    <t>AKSİYON GERÇEKLEŞEN TARİH</t>
  </si>
  <si>
    <t xml:space="preserve">SVT Ready </t>
  </si>
  <si>
    <t xml:space="preserve">Installation Owner SM </t>
  </si>
  <si>
    <t>Mudahale Aciklamasi</t>
  </si>
  <si>
    <t>Bekleyen Montaj Aksiyonlari</t>
  </si>
  <si>
    <t>Scenario</t>
  </si>
  <si>
    <t>TUGIR</t>
  </si>
  <si>
    <t>MUGLA</t>
  </si>
  <si>
    <t xml:space="preserve">Montaj ok </t>
  </si>
  <si>
    <t>ŞİMŞEK</t>
  </si>
  <si>
    <t>GELDİ</t>
  </si>
  <si>
    <t>Muğla</t>
  </si>
  <si>
    <t>Bodrum</t>
  </si>
  <si>
    <t>Kuleli</t>
  </si>
  <si>
    <t>64T64R</t>
  </si>
  <si>
    <t>AAU5646</t>
  </si>
  <si>
    <t>SVT Ready-kabul bekler</t>
  </si>
  <si>
    <t>HW/MUHAMMET/KABUL</t>
  </si>
  <si>
    <t>Ready for 5G Board addition</t>
  </si>
  <si>
    <t>BAMEV</t>
  </si>
  <si>
    <t>Menteşe</t>
  </si>
  <si>
    <t>TX 10G SFP change</t>
  </si>
  <si>
    <t>TORBE</t>
  </si>
  <si>
    <t>IZMIR</t>
  </si>
  <si>
    <t>İzmir</t>
  </si>
  <si>
    <t>BINAUSTU</t>
  </si>
  <si>
    <t>ACIK MONTAJ</t>
  </si>
  <si>
    <t>HW/FATİH/KABUL</t>
  </si>
  <si>
    <t>UMPT replacement + Copper to fiber change</t>
  </si>
  <si>
    <t>KUCAR</t>
  </si>
  <si>
    <t>Aydın</t>
  </si>
  <si>
    <t>Kuşadası</t>
  </si>
  <si>
    <t>AAU5656</t>
  </si>
  <si>
    <t>BBU modernization + UMPT replacement + Copper to fiber change + BBP relocation(TC)</t>
  </si>
  <si>
    <t>INCSL</t>
  </si>
  <si>
    <t>İncirliova</t>
  </si>
  <si>
    <t>32T32R</t>
  </si>
  <si>
    <t>AAU5368</t>
  </si>
  <si>
    <t>Alarm var</t>
  </si>
  <si>
    <t>HW/SM/SONER</t>
  </si>
  <si>
    <t>Turkcell</t>
  </si>
  <si>
    <t>Turkcell'e mail atilacak. (Fatih Izgi)</t>
  </si>
  <si>
    <t>NR700 2.sektor 10G SFP gerekli. (BCO)</t>
  </si>
  <si>
    <t>KONIS</t>
  </si>
  <si>
    <t>Konak</t>
  </si>
  <si>
    <t>GİZLEME</t>
  </si>
  <si>
    <t>Copper to fiber change</t>
  </si>
  <si>
    <t>TAYRN</t>
  </si>
  <si>
    <t>KORKL</t>
  </si>
  <si>
    <t>BINA USTU+INDOOR</t>
  </si>
  <si>
    <t>BBU modernization + Copper to fiber change</t>
  </si>
  <si>
    <t>TORKU</t>
  </si>
  <si>
    <t>MEDEK</t>
  </si>
  <si>
    <t>Menderes</t>
  </si>
  <si>
    <t>TOTEM</t>
  </si>
  <si>
    <t>UMPT replacement + TX 10G SFP change</t>
  </si>
  <si>
    <t>TURKM</t>
  </si>
  <si>
    <t>BBU modernization + 10G TX SFP</t>
  </si>
  <si>
    <t>TORCM</t>
  </si>
  <si>
    <t>ORGTE</t>
  </si>
  <si>
    <t>Çiğli</t>
  </si>
  <si>
    <t>AAU5356</t>
  </si>
  <si>
    <t>KRKSK</t>
  </si>
  <si>
    <t>KASET</t>
  </si>
  <si>
    <t>ILMEV</t>
  </si>
  <si>
    <t xml:space="preserve">Montaj Ok </t>
  </si>
  <si>
    <t>Huawei RO</t>
  </si>
  <si>
    <t>Aksiyon alinacak. (Soner  - Egemen)</t>
  </si>
  <si>
    <t>UBBPg1a montaji bekleniyor. + 5G Data yuklenecek (Saha Fiber 10G Wireless uzaktan yukleyecek.)</t>
  </si>
  <si>
    <t>KUTUR</t>
  </si>
  <si>
    <t>TX 10G SFP change + BBP relocation(TC)</t>
  </si>
  <si>
    <t>ORZES</t>
  </si>
  <si>
    <t>TURER</t>
  </si>
  <si>
    <t>Manisa</t>
  </si>
  <si>
    <t>Turgutlu</t>
  </si>
  <si>
    <t>MONOPOLE</t>
  </si>
  <si>
    <t>MAOSA</t>
  </si>
  <si>
    <t>Şehzadeler</t>
  </si>
  <si>
    <t>Turkcell'e mail atildi. (Fatih Izgi)</t>
  </si>
  <si>
    <t>Ikinci rectifier baglantisi yok. AAU'lara enerji verilemedi.</t>
  </si>
  <si>
    <t>MANEV</t>
  </si>
  <si>
    <t>Yunusemre</t>
  </si>
  <si>
    <t>SEMME</t>
  </si>
  <si>
    <t>Karşıyaka</t>
  </si>
  <si>
    <t>BINA USTU SILINDIR GIZLEME</t>
  </si>
  <si>
    <t>MAMRO</t>
  </si>
  <si>
    <t>BERIZ</t>
  </si>
  <si>
    <t>Bergama</t>
  </si>
  <si>
    <t>BBU modernization + UMPT replacement + Copper to fiber change</t>
  </si>
  <si>
    <t>ALOSB</t>
  </si>
  <si>
    <t>URLOT</t>
  </si>
  <si>
    <t>Urla</t>
  </si>
  <si>
    <t>Fiber 10G Donusumu yapilacak. + 5G Data yuklenecek.</t>
  </si>
  <si>
    <t>BOGAL</t>
  </si>
  <si>
    <t>BAYOC</t>
  </si>
  <si>
    <t>KOSKU</t>
  </si>
  <si>
    <t>GATAN</t>
  </si>
  <si>
    <t>BOHAS</t>
  </si>
  <si>
    <t>KESAR</t>
  </si>
  <si>
    <t>Mail atildi. (Soner Yucel)</t>
  </si>
  <si>
    <t>AAU ersimi yok. Rectifier montajı var ancak AC enerji yapılmamış</t>
  </si>
  <si>
    <t>Ready for 5G Board addition + BBP relocation(TC)</t>
  </si>
  <si>
    <t>Montaj eksik subcon yonlendirilecek (Fatih Izgi)</t>
  </si>
  <si>
    <t>AAU erisimi yok + G1A montaji bekleniyor + Fiber 10G Donusumu yapilacak. + 5G Data yuklenecek.</t>
  </si>
  <si>
    <t>ARAZI POLE</t>
  </si>
  <si>
    <t>Turkcell + Huawei RO</t>
  </si>
  <si>
    <t>Tum slotlar dolu Turkcell'den kart dizayni bekleniyor + UBBPg1a and UBBPg3b kart montaji + 5G data yuklenecek.</t>
  </si>
  <si>
    <t>ALCTR</t>
  </si>
  <si>
    <t>Çeşme</t>
  </si>
  <si>
    <t>META</t>
  </si>
  <si>
    <t>AAU5668</t>
  </si>
  <si>
    <t xml:space="preserve">Tum slotlar dolu Turkcell'den kart dizayni bekleniyor + UBBPg1a and UBBPg3b kart montaji </t>
  </si>
  <si>
    <t>KOSKV</t>
  </si>
  <si>
    <t>NR700 Mhz 1ve 3. sektor 10G SFP gerekli. (BCO)</t>
  </si>
  <si>
    <t>AAUs erisimi yok. (Rectifier var ancak dc sistem arızaya geçiyor çıkış vermiyor - BCO)</t>
  </si>
  <si>
    <t xml:space="preserve">BBU tarafinda hic montaj yapilmamis ve 5G Data yuklenmemis. </t>
  </si>
  <si>
    <t>BBU modernization + UMPT replacement + 10G TX SFP</t>
  </si>
  <si>
    <t>SU DEPOSU USTU POLE</t>
  </si>
  <si>
    <t>AAU erisimi yok sahadan kontrol gerekli</t>
  </si>
  <si>
    <t>ALITV</t>
  </si>
  <si>
    <t>TRT KULE</t>
  </si>
  <si>
    <t>GPS + Fiber 10G Donusumu yapilacak. + 5G Data yuklenecek.</t>
  </si>
  <si>
    <t>MONTAJ AÇIKLAMA</t>
  </si>
  <si>
    <t>QC NOTE</t>
  </si>
  <si>
    <t>bağlayan bir şey yok</t>
  </si>
  <si>
    <t>yarın takılacak</t>
  </si>
  <si>
    <t>herşeyimiz ok.</t>
  </si>
  <si>
    <t xml:space="preserve"> kart sonradan geldiği için tekrar saha ziyaret hak ediş kalemi talrp edilecek</t>
  </si>
  <si>
    <t>issue var</t>
  </si>
  <si>
    <t>bizlik bir şey yok</t>
  </si>
  <si>
    <t xml:space="preserve"> g1 kart montajı takıldı.data atılacak issue</t>
  </si>
  <si>
    <t>maille sorgulanacak</t>
  </si>
  <si>
    <t>kart takılacak bizde</t>
  </si>
  <si>
    <t>sektör iki  yön düzeltme bizde</t>
  </si>
  <si>
    <t>ayort 3 sektör olacasak ıssue</t>
  </si>
  <si>
    <t>bizle ilgisi yok.closed</t>
  </si>
  <si>
    <t>qc eksik kapatılacak data yüklenecek</t>
  </si>
  <si>
    <t>qc eksik kapatılacak sektör yönleri hatalı</t>
  </si>
  <si>
    <t>qc kapatılacak issue</t>
  </si>
  <si>
    <t>qc kapatılacak foto yüklenecek</t>
  </si>
  <si>
    <t>montajlar yanlış. Anten mesafeleri düzeltilecek</t>
  </si>
  <si>
    <t>issue var ama rectifierden. Bizlik bir şey yok</t>
  </si>
  <si>
    <t>issue antenler arası mesafe   kablolar kısa kesilmiş.rect.</t>
  </si>
  <si>
    <t>qc bekler metre ölçümü issue</t>
  </si>
  <si>
    <t>ES0270_NR3500_MWA</t>
  </si>
  <si>
    <t>ESKİŞEHİR</t>
  </si>
  <si>
    <t>BİNA ÜSTÜ</t>
  </si>
  <si>
    <t>W01</t>
  </si>
  <si>
    <t>BO2882_NR3500_MWA</t>
  </si>
  <si>
    <t>BOLU</t>
  </si>
  <si>
    <t>ES0307_NR3500_MWA</t>
  </si>
  <si>
    <t>W04</t>
  </si>
  <si>
    <t>ES4347_NR3500_MWA</t>
  </si>
  <si>
    <t>ES4345_NR3500_MWA</t>
  </si>
  <si>
    <t>TEPEBAŞI</t>
  </si>
  <si>
    <r>
      <rPr>
        <sz val="9"/>
        <color rgb="FFFF0000"/>
        <rFont val="Calibri"/>
        <family val="2"/>
        <charset val="162"/>
      </rPr>
      <t>VDFDAN DOLAYI İPTAL</t>
    </r>
    <r>
      <rPr>
        <sz val="9"/>
        <color theme="1"/>
        <rFont val="Calibri"/>
        <family val="2"/>
        <charset val="162"/>
      </rPr>
      <t xml:space="preserve">
20.01.2026 VDFDAN  BİLGİ BEKLENİYOR</t>
    </r>
  </si>
  <si>
    <t>ES0391_NR3500_MWA</t>
  </si>
  <si>
    <t>ES5502_NR3500_MWA</t>
  </si>
  <si>
    <t>W05</t>
  </si>
  <si>
    <t>ES5309_NR3500_MWA</t>
  </si>
  <si>
    <t>ES4343_NR3500_MWA</t>
  </si>
  <si>
    <t>ODUNPAZARI</t>
  </si>
  <si>
    <t>ES0274_NR3500_MWA</t>
  </si>
  <si>
    <t>ES0292_NR3500_MWA</t>
  </si>
  <si>
    <t>ES1702_NR3500_MWA</t>
  </si>
  <si>
    <t>ES3138_NR3500_MWA</t>
  </si>
  <si>
    <t>ES3345_NR3500_MWA</t>
  </si>
  <si>
    <t>ES4009_NR3500_MWA</t>
  </si>
  <si>
    <t>ES1713_NR3500_MWA</t>
  </si>
  <si>
    <t>ES4317_NR3500_MWA</t>
  </si>
  <si>
    <r>
      <rPr>
        <sz val="9"/>
        <color rgb="FFFF0000"/>
        <rFont val="Calibri"/>
        <family val="2"/>
        <charset val="162"/>
      </rPr>
      <t>26.01.2026  POLE DEĞİŞİM ONAYI BEKLENDİĞİ İÇİN MONTAJ TT TARAFINDAN BEKLEMEYE ALINDI. MONTAJIN BİR KISMI YAPILDI
25.01.2026 POLEE AĞIRLIK BİNDİĞİ İÇİN ÇALIŞMA VİNÇLE YAPIALCAK</t>
    </r>
    <r>
      <rPr>
        <sz val="9"/>
        <color theme="1"/>
        <rFont val="Calibri"/>
        <family val="2"/>
        <charset val="162"/>
      </rPr>
      <t xml:space="preserve">
23.01 HAVA ŞARTLARINDAN İSG ÇALIŞMAYA İZİN VERMEDİ
21.01-22.01HAVA ŞARTLARINDAN BEKLEMEDE/</t>
    </r>
    <r>
      <rPr>
        <sz val="9"/>
        <color rgb="FFFF0000"/>
        <rFont val="Calibri"/>
        <family val="2"/>
        <charset val="162"/>
      </rPr>
      <t>TSS GÜNCELLENECEK</t>
    </r>
  </si>
  <si>
    <t>ES5315_NR3500_MWA</t>
  </si>
  <si>
    <t>GİZLEME MONTAJI YAPIALCAK</t>
  </si>
  <si>
    <t>POLE</t>
  </si>
  <si>
    <t>GİZLEME MONTAJI YAPIALCAK/Outdoor Cable Connection Box(OCB-01M) GÖNDERİLMEDİ.
19.01 TARİHİNDE MAİL ATILDI. MURAT İSTEK</t>
  </si>
  <si>
    <t>7,2 MT POLE TEDARİĞİNDE BULUNULACAK</t>
  </si>
  <si>
    <t>27.01 SAHADA KABLO GÜZERGAH YOLU NEDENİYLE 70MT 3 ADET FO VE 70 MT 2*16 DC KABLO GEREKTİ. PO TALEBİNDE BULUNULDU. TSS REVİZE EDİLDİ.
 MALZEMELER GÖNDERİLECEK.BO2882 SAHASINA AKTARILACAK/TSS GÜNCELLENECEK</t>
  </si>
  <si>
    <r>
      <rPr>
        <sz val="9"/>
        <color rgb="FFFF0000"/>
        <rFont val="Calibri"/>
        <family val="2"/>
        <charset val="162"/>
      </rPr>
      <t>30.01 ES5502 SAHASINDA YETERLİ GELMEYEN 3 ADET 60 MT FO KABLO 4317 SAHASINA KAYDIRILDI.İLAVE OLARAK 5 ADET 60 MT FO VE 2*10 120 MT DC KABLO TALEP EDİLDİ. TSS REVİZE İSTENDİ.</t>
    </r>
    <r>
      <rPr>
        <sz val="9"/>
        <color theme="1"/>
        <rFont val="Calibri"/>
        <family val="2"/>
        <charset val="162"/>
      </rPr>
      <t xml:space="preserve">
ENERJİ VE FO KABLOLAR BİNA DIŞINDAN MEVCUT KANALETTEN GEÇİRİLEMİYOR VİNÇ TUTULAMIYOR, BU NEDENLE
 TT ONAYI İLE KABLOLARI BOŞTAN ÇEKECEĞİZ. ULAŞILAN YERLERDE KLİPSLEYECEĞİZ. VE SONRASINDA IRATA EKİBİ PO AÇILIRSA ONUNLA YAPTIRILACAK. YOKSA ULAŞILAN YERE KADA RMERDİVENLE KANALET DÖŞENECEK. </t>
    </r>
  </si>
  <si>
    <t>MAVİ SİYAH KABLO GÖTÜRÜLECEK
29.01 SAHADA ENERJİ KABLOLARI 15-20 MT KISA KALDI. EK YAPILDI. 
29.01 SAHADA DCDU KABLOSI SİYAH MAVİ 5 MT  EKSİK GÖNDERİLMİŞ TT TARAFINDAN. 
O NEDENLA SAHAYA TEK KABLO ÇEKİLDİĞİ İÇİN ISSUE DÖNÜLDĞÜ</t>
  </si>
  <si>
    <t>W06</t>
  </si>
  <si>
    <t>BO0064_NR3500_MWA</t>
  </si>
  <si>
    <t>ES4351_NR3500_MWA</t>
  </si>
  <si>
    <t>ES4316_NR3500_MWA</t>
  </si>
  <si>
    <t>ES3006_NR3500_MWA</t>
  </si>
  <si>
    <t>W08</t>
  </si>
  <si>
    <r>
      <t xml:space="preserve">ESKİŞEHİR BÇO DAN </t>
    </r>
    <r>
      <rPr>
        <b/>
        <sz val="9"/>
        <color rgb="FF0070C0"/>
        <rFont val="Calibri"/>
        <family val="2"/>
        <charset val="162"/>
      </rPr>
      <t>TAYFUN BALLIKAYADAN 50 ŞER METRE 3 ADET FO KABLO ALINDI EMANET</t>
    </r>
    <r>
      <rPr>
        <sz val="9"/>
        <color rgb="FFFF0000"/>
        <rFont val="Calibri"/>
        <family val="2"/>
        <charset val="162"/>
      </rPr>
      <t>, GERİ VERİLECEK
TTDEN İZİN ALINACAK/TSS GÜNCELLENECEK/TT SAHASI İZİNLİ  VE SAATLİ ÇALIŞILDI.</t>
    </r>
  </si>
  <si>
    <t>BO2850_NR3500_MWA</t>
  </si>
  <si>
    <t>BO2852_NR3500_MWA</t>
  </si>
  <si>
    <t>DU2321_NR3500_MWA</t>
  </si>
  <si>
    <t>DÜZCE</t>
  </si>
  <si>
    <t>ES0280_NR3500_MWA</t>
  </si>
  <si>
    <t>ES0396_NR3500_MWA</t>
  </si>
  <si>
    <t>KA3317_NR3500_MWA</t>
  </si>
  <si>
    <t>KA3320_NR3500_MWA</t>
  </si>
  <si>
    <t>ZO0099_NR3500_MWA</t>
  </si>
  <si>
    <t>ZONGULDAK</t>
  </si>
  <si>
    <t>ZO0634_NR3500_MWA</t>
  </si>
  <si>
    <t>MEVCUT GİZLEME 130x130xh:300cm EBATINDADIR.
** MEVCUT GİZLEME SÖKÜLEREK YERİNE 150x150xh:400cm(GİZLEME ALTI 1M SEHPA) SİLİNDİR GİZLEME MONTE EDİLECEKTİR.</t>
  </si>
  <si>
    <t>KARABÜK</t>
  </si>
  <si>
    <t>SAFRANBOLU</t>
  </si>
  <si>
    <r>
      <rPr>
        <b/>
        <sz val="9"/>
        <color theme="3" tint="0.249977111117893"/>
        <rFont val="Calibri"/>
        <family val="2"/>
        <charset val="162"/>
      </rPr>
      <t>16.02 VDF DAN ONAY GELDİ 
VDF/YAPILAN MONTAJI SÖKTÜRDÜLER</t>
    </r>
    <r>
      <rPr>
        <sz val="9"/>
        <color rgb="FFFF0000"/>
        <rFont val="Calibri"/>
        <family val="2"/>
        <charset val="162"/>
      </rPr>
      <t xml:space="preserve">
04.01 VDF DAN GİRİŞ İZNİ BEKLENİYOR
ALT KASETE MONTAJ YAPILACAK</t>
    </r>
    <r>
      <rPr>
        <sz val="9"/>
        <color theme="1"/>
        <rFont val="Calibri"/>
        <family val="2"/>
        <charset val="162"/>
      </rPr>
      <t xml:space="preserve">
31.01-01.02/TOTEM İÇİN ÇEMBER OFSET KEŞFİ YAPILACAK.ÖLÇÜLERE GÖRE ÜRETİM YAPILACAK</t>
    </r>
  </si>
  <si>
    <r>
      <rPr>
        <b/>
        <sz val="9"/>
        <color rgb="FF0070C0"/>
        <rFont val="Calibri"/>
        <family val="2"/>
        <charset val="162"/>
      </rPr>
      <t>16.02 VDF DAN ONAY GELDİ
(10.02/VDF,DC VDFDAN ALINACAK MAİLİ ATILDI ONAY BEKLENİYOR)</t>
    </r>
    <r>
      <rPr>
        <sz val="9"/>
        <color rgb="FFFF0000"/>
        <rFont val="Calibri"/>
        <family val="2"/>
        <charset val="162"/>
      </rPr>
      <t>/ 7,2 MT POLE TEDARİĞİNDE BULUNULACAK</t>
    </r>
  </si>
  <si>
    <t>FIRAT KENAN ÖNGÜN(FEDERAL)</t>
  </si>
  <si>
    <t>EMRAH UYSAL (FEDERAL)</t>
  </si>
  <si>
    <t>BO0008_NR3500_MWA</t>
  </si>
  <si>
    <t>ES0265_NR3500_MWA</t>
  </si>
  <si>
    <t>ES0321_NR3500_MWA</t>
  </si>
  <si>
    <t>ES4337_NR3500_MWA</t>
  </si>
  <si>
    <t>QC Status</t>
  </si>
  <si>
    <t>İPTAL</t>
  </si>
  <si>
    <t>STR YAPILACAK.</t>
  </si>
  <si>
    <t>İADE EDİLDİ</t>
  </si>
  <si>
    <r>
      <t xml:space="preserve">
</t>
    </r>
    <r>
      <rPr>
        <sz val="9"/>
        <color rgb="FFFF0000"/>
        <rFont val="Calibri"/>
        <family val="2"/>
        <charset val="162"/>
      </rPr>
      <t>TSS GÜNCELLENECEK</t>
    </r>
  </si>
  <si>
    <t xml:space="preserve">
03.01 MALZEMELR ABİTEK KOCAELİNDEN ALINDI</t>
  </si>
  <si>
    <t xml:space="preserve">TSS GÜNCELLENECEK </t>
  </si>
  <si>
    <t xml:space="preserve">
TSS GÜNCELLENECEK</t>
  </si>
  <si>
    <t>W09</t>
  </si>
  <si>
    <t>OFSET GEREKİYOR. EKİP MALZEME BEKLER.</t>
  </si>
  <si>
    <t>ES0143_NR3500_MWA</t>
  </si>
  <si>
    <t>ES0258_NR3500_MWA</t>
  </si>
  <si>
    <t>ES0263_NR3500_MWA</t>
  </si>
  <si>
    <t>ES0288_NR3500_MWA</t>
  </si>
  <si>
    <t>ES0301_NR3500_MWA</t>
  </si>
  <si>
    <t>ES0306_NR3500_MWA</t>
  </si>
  <si>
    <t>ES0308_NR3500_MWA</t>
  </si>
  <si>
    <t>ES0311_NR3500_MWA</t>
  </si>
  <si>
    <t>ES0330_NR3500_MWA</t>
  </si>
  <si>
    <t>ES0333_NR3500_MWA</t>
  </si>
  <si>
    <t>ES0343_NR3500_MWA</t>
  </si>
  <si>
    <t>ES0355_NR3500_MWA</t>
  </si>
  <si>
    <t>ES0377_NR3500_MWA</t>
  </si>
  <si>
    <t>ETAŞ</t>
  </si>
  <si>
    <t>W10</t>
  </si>
  <si>
    <t>ZO0003_DSS_MWA</t>
  </si>
  <si>
    <t>ZO0011_DSS_MWA</t>
  </si>
  <si>
    <t>ZO0065_DSS_MWA</t>
  </si>
  <si>
    <t>ZO0099_DSS_MWA</t>
  </si>
  <si>
    <t>ZO0155_DSS_MWA</t>
  </si>
  <si>
    <t>ZO0551_DSS_MWA</t>
  </si>
  <si>
    <t>ZO0553_DSS_MWA</t>
  </si>
  <si>
    <t>ZO0563_DSS_MWA</t>
  </si>
  <si>
    <t>ZO0647_DSS_MWA</t>
  </si>
  <si>
    <t>ZO0701_DSS_MWA</t>
  </si>
  <si>
    <t>ZO0716_DSS_MWA</t>
  </si>
  <si>
    <t>ZO0913_DSS_MWA</t>
  </si>
  <si>
    <t>ZO0937_DSS_MWA</t>
  </si>
  <si>
    <t>ZO0954_DSS_MWA</t>
  </si>
  <si>
    <t>ZO0958_DSS_MWA</t>
  </si>
  <si>
    <t>ZO0962_DSS_MWA</t>
  </si>
  <si>
    <t>ZO1600_DSS_MWA</t>
  </si>
  <si>
    <t>ZO1701_DSS_MWA</t>
  </si>
  <si>
    <t>KASIM EVİN</t>
  </si>
  <si>
    <t>ZO0730_DSS_MWA</t>
  </si>
  <si>
    <t>14.03.2026 tarihinde montaja girilecektir.</t>
  </si>
  <si>
    <t>W11</t>
  </si>
  <si>
    <t>ES0044_DSS_MWA</t>
  </si>
  <si>
    <t>ES0049_DSS_MWA</t>
  </si>
  <si>
    <t>ES0392_DSS_MWA</t>
  </si>
  <si>
    <t>ES5042_DSS_MWA</t>
  </si>
  <si>
    <t>ES0265_NR700_MWA</t>
  </si>
  <si>
    <t>ES0265_TRP_MB_MWA</t>
  </si>
  <si>
    <t>ES0321_NR700_MWA</t>
  </si>
  <si>
    <t>ES0321_TRP_MB_MWA</t>
  </si>
  <si>
    <t>ES3345_NR700_MWA</t>
  </si>
  <si>
    <t>ES4316_NR700_MWA</t>
  </si>
  <si>
    <t>ES4343_NR700_MWA</t>
  </si>
  <si>
    <t>ES0047_DSS_MWA</t>
  </si>
  <si>
    <t>ES0048_DSS_MWA</t>
  </si>
  <si>
    <t>ES0145_DSS_MWA</t>
  </si>
  <si>
    <t>ES3038_DSS_MWA</t>
  </si>
  <si>
    <t>ES4043_DSS_MWA</t>
  </si>
  <si>
    <t>KA0078_DSS_MWA</t>
  </si>
  <si>
    <t>KA0079_DSS_MWA</t>
  </si>
  <si>
    <t>KA3028_DSS_MWA</t>
  </si>
  <si>
    <t>KA3032_DSS_MWA</t>
  </si>
  <si>
    <t>BO2855_NR3500_MWA</t>
  </si>
  <si>
    <t>BO2860_NR3500_MWA</t>
  </si>
  <si>
    <t>BO2930_NR3500_MWA</t>
  </si>
  <si>
    <t>BO2930_TRP_MB_MWA</t>
  </si>
  <si>
    <t>ES0088_NR3500_MWA</t>
  </si>
  <si>
    <t>ES0112_NR3500_MWA</t>
  </si>
  <si>
    <t>ES0260_NR3500_MWA</t>
  </si>
  <si>
    <t>ES0264_NR3500_MWA</t>
  </si>
  <si>
    <t>ES0290_NR3500_MWA</t>
  </si>
  <si>
    <t>ES0294_NR3500_MWA</t>
  </si>
  <si>
    <t>ES0294_NR700_MWA</t>
  </si>
  <si>
    <t>ES0295_NR3500_MWA</t>
  </si>
  <si>
    <t>KA3059_NR3500_MWA</t>
  </si>
  <si>
    <t>BO2860_TRP_MB_MWA</t>
  </si>
  <si>
    <t>BO2860_NR700_MWA</t>
  </si>
  <si>
    <t>W12</t>
  </si>
  <si>
    <t>MURAT YOKUŞ</t>
  </si>
  <si>
    <t>DU2911_DSS_MWA</t>
  </si>
  <si>
    <t>DU2913_DSS_MWA</t>
  </si>
  <si>
    <t>DU2925_DSS_MWA</t>
  </si>
  <si>
    <t>DU2971_DSS_MWA</t>
  </si>
  <si>
    <t>CN0975_DSS_MWA</t>
  </si>
  <si>
    <t>DU0019_DSS_MWA</t>
  </si>
  <si>
    <t>BO0034_DSS_MWA</t>
  </si>
  <si>
    <t>BO0123_DSS_MWA</t>
  </si>
  <si>
    <t>BO0932_DSS_MWA</t>
  </si>
  <si>
    <t>BO2121_DSS_MWA</t>
  </si>
  <si>
    <t>BO2136_DSS_MWA</t>
  </si>
  <si>
    <t>BO3030_DSS_MWA</t>
  </si>
  <si>
    <t>BO3831_DSS_MWA</t>
  </si>
  <si>
    <t>CN0030_DSS_MWA</t>
  </si>
  <si>
    <t>CN0040_DSS_MWA</t>
  </si>
  <si>
    <t>CN0055_DSS_MWA</t>
  </si>
  <si>
    <t>CN0060_DSS_MWA</t>
  </si>
  <si>
    <t>CN0070_DSS_MWA</t>
  </si>
  <si>
    <t>CN0335_DSS_MWA</t>
  </si>
  <si>
    <t>CN0925_DSS_MWA</t>
  </si>
  <si>
    <t>CN0940_DSS_MWA</t>
  </si>
  <si>
    <t>CN0965_DSS_MWA</t>
  </si>
  <si>
    <t>BI0616_DSS_MWA</t>
  </si>
  <si>
    <t>BI0654_DSS_MWA</t>
  </si>
  <si>
    <t>BI0694_DSS_MWA</t>
  </si>
  <si>
    <t>ZO0755_DSS_MWA</t>
  </si>
  <si>
    <t>ES0040_DSS_MWA</t>
  </si>
  <si>
    <t>ES0041_DSS_MWA</t>
  </si>
  <si>
    <t>CN0170_DSS_MWA</t>
  </si>
  <si>
    <t>W13</t>
  </si>
  <si>
    <t>SADİ BEY DÖNÜŞ BEKLER</t>
  </si>
  <si>
    <t>ES0373_NR3500_MWA</t>
  </si>
  <si>
    <t>ES5018_NR3500_MWA</t>
  </si>
  <si>
    <t>QC BEKLER</t>
  </si>
  <si>
    <t>W14</t>
  </si>
  <si>
    <t>TAYFUN BALLIKAYA</t>
  </si>
  <si>
    <t>ES0191_NR3500_MWA</t>
  </si>
  <si>
    <t>ES1018_NR3500_MWA</t>
  </si>
  <si>
    <t>MONTAJI FARKLI FİRMA YAPTI.</t>
  </si>
  <si>
    <t>BI1639_L1800_MWA</t>
  </si>
  <si>
    <t>BO2823_L800_MWA</t>
  </si>
  <si>
    <t>BO2856_L800_MWA</t>
  </si>
  <si>
    <t>CN0107_LC1800_MWA</t>
  </si>
  <si>
    <t>CN9005_L800_MWA</t>
  </si>
  <si>
    <t>DU0010_L2100_MWA</t>
  </si>
  <si>
    <t>DU0040_L1800_MWA</t>
  </si>
  <si>
    <t>DU0091_L2100_MWA</t>
  </si>
  <si>
    <t>DU2307_L2100_MWA</t>
  </si>
  <si>
    <t>DU2359_L2100_MWA</t>
  </si>
  <si>
    <t>DU2360_L2600_MWA</t>
  </si>
  <si>
    <t>DU2904_L800_MWA</t>
  </si>
  <si>
    <t>DU2963_L800_MWA</t>
  </si>
  <si>
    <t>DU2965_L800_MWA</t>
  </si>
  <si>
    <t>DU2974_L800_MWA</t>
  </si>
  <si>
    <t>ES0029_L800_MWA</t>
  </si>
  <si>
    <t>ES0069_L2100_MWA</t>
  </si>
  <si>
    <t>ES0183_L800_MWA</t>
  </si>
  <si>
    <t>ES0348_L2600_MWA</t>
  </si>
  <si>
    <t>ES1015_L2100_MWA</t>
  </si>
  <si>
    <t>ES1030_L1800_MWA</t>
  </si>
  <si>
    <t>ES1030_LC1800_MWA</t>
  </si>
  <si>
    <t>ES1082_L1800_MWA</t>
  </si>
  <si>
    <t>ES1109_L1800_MWA</t>
  </si>
  <si>
    <t>ES1111_L1800_MWA</t>
  </si>
  <si>
    <t>KA0074_L1800_MWA</t>
  </si>
  <si>
    <t>KA0089_L1800_MWA</t>
  </si>
  <si>
    <t>KA0177_L800_MWA</t>
  </si>
  <si>
    <t>KA3201_L2100_MWA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</si>
</sst>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sz val="11"/>
      <color rgb="FF000000"/>
      <name val="Calibri"/>
      <family val="2"/>
      <charset val="162"/>
    </font>
    <font>
      <b/>
      <sz val="8"/>
      <name val="Verdana"/>
      <family val="2"/>
    </font>
    <font>
      <b/>
      <sz val="8"/>
      <color indexed="8"/>
      <name val="Verdana"/>
      <family val="2"/>
    </font>
    <font>
      <b/>
      <sz val="8"/>
      <color indexed="9"/>
      <name val="Verdana"/>
      <family val="2"/>
    </font>
    <font>
      <sz val="10"/>
      <name val="Helv"/>
    </font>
    <font>
      <sz val="8"/>
      <name val="Verdana"/>
      <family val="2"/>
    </font>
    <font>
      <b/>
      <sz val="8"/>
      <color rgb="FF00CC00"/>
      <name val="Verdana"/>
      <family val="2"/>
    </font>
    <font>
      <sz val="8"/>
      <color rgb="FF000000"/>
      <name val="Verdana"/>
      <family val="2"/>
    </font>
    <font>
      <b/>
      <sz val="8"/>
      <color rgb="FFFFFFFF"/>
      <name val="Verdana"/>
      <family val="2"/>
    </font>
    <font>
      <b/>
      <sz val="8"/>
      <color rgb="FF000000"/>
      <name val="Verdana"/>
      <family val="2"/>
    </font>
    <font>
      <sz val="11"/>
      <color theme="1"/>
      <name val="Aptos Narrow"/>
      <family val="2"/>
      <charset val="162"/>
      <scheme val="minor"/>
    </font>
    <font>
      <sz val="9"/>
      <color theme="1"/>
      <name val="Calibri"/>
      <family val="2"/>
      <charset val="162"/>
    </font>
    <font>
      <sz val="11"/>
      <color rgb="FFFF0000"/>
      <name val="Calibri"/>
      <family val="2"/>
      <charset val="162"/>
    </font>
    <font>
      <sz val="9"/>
      <color rgb="FFFF0000"/>
      <name val="Calibri"/>
      <family val="2"/>
      <charset val="162"/>
    </font>
    <font>
      <b/>
      <i/>
      <sz val="11"/>
      <color rgb="FF000000"/>
      <name val="Calibri"/>
      <family val="2"/>
      <charset val="162"/>
    </font>
    <font>
      <b/>
      <i/>
      <sz val="14"/>
      <color rgb="FFFFFFFF"/>
      <name val="Calibri"/>
      <family val="2"/>
      <charset val="162"/>
    </font>
    <font>
      <b/>
      <sz val="14"/>
      <color rgb="FFFFFFFF"/>
      <name val="Calibri"/>
      <family val="2"/>
      <charset val="162"/>
    </font>
    <font>
      <b/>
      <sz val="12"/>
      <color rgb="FF000000"/>
      <name val="Calibri"/>
      <family val="2"/>
      <charset val="162"/>
    </font>
    <font>
      <b/>
      <sz val="9"/>
      <name val="Calibri"/>
      <family val="2"/>
      <charset val="162"/>
    </font>
    <font>
      <sz val="9"/>
      <name val="Calibri"/>
      <family val="2"/>
      <charset val="162"/>
    </font>
    <font>
      <b/>
      <sz val="9"/>
      <color rgb="FF0070C0"/>
      <name val="Calibri"/>
      <family val="2"/>
      <charset val="162"/>
    </font>
    <font>
      <b/>
      <sz val="9"/>
      <color theme="3" tint="0.249977111117893"/>
      <name val="Calibri"/>
      <family val="2"/>
      <charset val="162"/>
    </font>
    <font>
      <b/>
      <sz val="9"/>
      <color rgb="FFFF0000"/>
      <name val="Calibri"/>
      <family val="2"/>
      <charset val="162"/>
    </font>
    <font>
      <sz val="9"/>
      <color theme="1"/>
      <name val="Aptos Narrow"/>
      <family val="2"/>
      <scheme val="minor"/>
    </font>
  </fonts>
  <fills count="20">
    <fill>
      <patternFill patternType="none"/>
    </fill>
    <fill>
      <patternFill patternType="gray125"/>
    </fill>
    <fill>
      <patternFill patternType="solid">
        <fgColor indexed="52"/>
        <bgColor indexed="64"/>
      </patternFill>
    </fill>
    <fill>
      <patternFill patternType="solid">
        <fgColor indexed="62"/>
        <bgColor indexed="64"/>
      </patternFill>
    </fill>
    <fill>
      <patternFill patternType="solid">
        <fgColor indexed="46"/>
        <bgColor indexed="64"/>
      </patternFill>
    </fill>
    <fill>
      <patternFill patternType="solid">
        <fgColor rgb="FFFFC000"/>
        <bgColor indexed="64"/>
      </patternFill>
    </fill>
    <fill>
      <patternFill patternType="solid">
        <fgColor rgb="FFFFCC99"/>
        <bgColor indexed="64"/>
      </patternFill>
    </fill>
    <fill>
      <patternFill patternType="solid">
        <fgColor indexed="43"/>
        <bgColor indexed="64"/>
      </patternFill>
    </fill>
    <fill>
      <patternFill patternType="solid">
        <fgColor rgb="FFFDE9D9"/>
        <bgColor indexed="64"/>
      </patternFill>
    </fill>
    <fill>
      <patternFill patternType="solid">
        <fgColor rgb="FFFFFFFF"/>
        <bgColor indexed="64"/>
      </patternFill>
    </fill>
    <fill>
      <patternFill patternType="solid">
        <fgColor rgb="FF5181BD"/>
        <bgColor indexed="64"/>
      </patternFill>
    </fill>
    <fill>
      <patternFill patternType="solid">
        <fgColor indexed="40"/>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002060"/>
        <bgColor indexed="64"/>
      </patternFill>
    </fill>
    <fill>
      <patternFill patternType="solid">
        <fgColor rgb="FFFFE699"/>
        <bgColor indexed="64"/>
      </patternFill>
    </fill>
    <fill>
      <patternFill patternType="solid">
        <fgColor rgb="FF7030A0"/>
        <bgColor indexed="64"/>
      </patternFill>
    </fill>
  </fills>
  <borders count="9">
    <border>
      <left/>
      <right/>
      <top/>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protection locked="0"/>
    </xf>
    <xf numFmtId="0" fontId="5" fillId="0" borderId="0">
      <protection locked="0"/>
    </xf>
    <xf numFmtId="0" fontId="11" fillId="0" borderId="0"/>
  </cellStyleXfs>
  <cellXfs count="82">
    <xf numFmtId="0" fontId="0" fillId="0" borderId="0" xfId="0"/>
    <xf numFmtId="0" fontId="3" fillId="3" borderId="3" xfId="1" applyFont="1" applyFill="1" applyBorder="1" applyAlignment="1" applyProtection="1">
      <alignment vertical="center"/>
    </xf>
    <xf numFmtId="0" fontId="2" fillId="4" borderId="3" xfId="1" applyFont="1" applyFill="1" applyBorder="1" applyAlignment="1" applyProtection="1">
      <alignment horizontal="center" vertical="center"/>
    </xf>
    <xf numFmtId="0" fontId="4" fillId="3" borderId="3" xfId="1" applyFont="1" applyFill="1" applyBorder="1" applyAlignment="1" applyProtection="1">
      <alignment horizontal="center" vertical="center"/>
    </xf>
    <xf numFmtId="1" fontId="4" fillId="3" borderId="4" xfId="1" applyNumberFormat="1" applyFont="1" applyFill="1" applyBorder="1" applyAlignment="1" applyProtection="1">
      <alignment horizontal="center" vertical="center"/>
    </xf>
    <xf numFmtId="0" fontId="2" fillId="5" borderId="3" xfId="2" applyFont="1" applyFill="1" applyBorder="1" applyAlignment="1" applyProtection="1">
      <alignment horizontal="center" vertical="center"/>
    </xf>
    <xf numFmtId="0" fontId="6" fillId="5" borderId="3" xfId="2" applyFont="1" applyFill="1" applyBorder="1" applyAlignment="1" applyProtection="1">
      <alignment horizontal="center" vertical="center"/>
    </xf>
    <xf numFmtId="0" fontId="7" fillId="5" borderId="4" xfId="2" applyFont="1" applyFill="1" applyBorder="1" applyAlignment="1" applyProtection="1">
      <alignment horizontal="center" vertical="center"/>
    </xf>
    <xf numFmtId="0" fontId="2" fillId="7" borderId="3" xfId="2" applyFont="1" applyFill="1" applyBorder="1" applyAlignment="1" applyProtection="1">
      <alignment horizontal="center" vertical="center"/>
    </xf>
    <xf numFmtId="0" fontId="8" fillId="0" borderId="3" xfId="0" applyFont="1" applyBorder="1" applyAlignment="1">
      <alignment horizontal="center" vertical="center"/>
    </xf>
    <xf numFmtId="0" fontId="2" fillId="8" borderId="3" xfId="2" applyFont="1" applyFill="1" applyBorder="1" applyAlignment="1" applyProtection="1">
      <alignment horizontal="center" vertical="center"/>
    </xf>
    <xf numFmtId="0" fontId="2" fillId="9" borderId="3" xfId="2" applyFont="1" applyFill="1" applyBorder="1" applyAlignment="1" applyProtection="1">
      <alignment horizontal="center" vertical="center"/>
    </xf>
    <xf numFmtId="0" fontId="9" fillId="10" borderId="4" xfId="1" applyFont="1" applyFill="1" applyBorder="1" applyAlignment="1" applyProtection="1">
      <alignment horizontal="center" vertical="center"/>
    </xf>
    <xf numFmtId="10" fontId="6" fillId="9" borderId="3" xfId="2" applyNumberFormat="1" applyFont="1" applyFill="1" applyBorder="1" applyAlignment="1" applyProtection="1">
      <alignment horizontal="center" vertical="center"/>
    </xf>
    <xf numFmtId="9" fontId="6" fillId="9" borderId="3" xfId="2" applyNumberFormat="1" applyFont="1" applyFill="1" applyBorder="1" applyAlignment="1" applyProtection="1">
      <alignment horizontal="center" vertical="center"/>
    </xf>
    <xf numFmtId="0" fontId="2" fillId="14" borderId="3" xfId="2" applyFont="1" applyFill="1" applyBorder="1" applyAlignment="1" applyProtection="1">
      <alignment horizontal="center" vertical="center"/>
    </xf>
    <xf numFmtId="0" fontId="15" fillId="16" borderId="5" xfId="0" applyFont="1" applyFill="1" applyBorder="1" applyAlignment="1">
      <alignment vertical="center" wrapText="1"/>
    </xf>
    <xf numFmtId="0" fontId="16" fillId="17" borderId="6" xfId="0" applyFont="1" applyFill="1" applyBorder="1" applyAlignment="1">
      <alignment vertical="center" wrapText="1"/>
    </xf>
    <xf numFmtId="0" fontId="15" fillId="13" borderId="6" xfId="0" applyFont="1" applyFill="1" applyBorder="1" applyAlignment="1">
      <alignment vertical="center" wrapText="1"/>
    </xf>
    <xf numFmtId="0" fontId="17" fillId="17" borderId="6" xfId="0" applyFont="1" applyFill="1" applyBorder="1" applyAlignment="1">
      <alignment horizontal="center" vertical="center" wrapText="1"/>
    </xf>
    <xf numFmtId="0" fontId="18" fillId="16" borderId="6" xfId="0" applyFont="1" applyFill="1" applyBorder="1" applyAlignment="1">
      <alignment horizontal="center" vertical="center" wrapText="1"/>
    </xf>
    <xf numFmtId="0" fontId="18" fillId="18" borderId="7" xfId="0" applyFont="1" applyFill="1" applyBorder="1" applyAlignment="1">
      <alignment vertical="center"/>
    </xf>
    <xf numFmtId="0" fontId="18" fillId="18" borderId="8" xfId="0" applyFont="1" applyFill="1" applyBorder="1" applyAlignment="1">
      <alignment vertical="center"/>
    </xf>
    <xf numFmtId="0" fontId="1" fillId="9" borderId="7" xfId="0" applyFont="1" applyFill="1" applyBorder="1" applyAlignment="1">
      <alignment vertical="center"/>
    </xf>
    <xf numFmtId="0" fontId="1" fillId="9" borderId="8" xfId="0" applyFont="1" applyFill="1" applyBorder="1" applyAlignment="1">
      <alignment vertical="center"/>
    </xf>
    <xf numFmtId="0" fontId="1" fillId="9" borderId="8" xfId="0" applyFont="1" applyFill="1" applyBorder="1" applyAlignment="1">
      <alignment vertical="center" wrapText="1"/>
    </xf>
    <xf numFmtId="14" fontId="1" fillId="9" borderId="8" xfId="0" applyNumberFormat="1" applyFont="1" applyFill="1" applyBorder="1" applyAlignment="1">
      <alignment vertical="center"/>
    </xf>
    <xf numFmtId="0" fontId="1" fillId="15" borderId="7" xfId="0" applyFont="1" applyFill="1" applyBorder="1" applyAlignment="1">
      <alignment vertical="center"/>
    </xf>
    <xf numFmtId="0" fontId="1" fillId="13" borderId="7" xfId="0" applyFont="1" applyFill="1" applyBorder="1" applyAlignment="1">
      <alignment vertical="center"/>
    </xf>
    <xf numFmtId="0" fontId="1" fillId="19" borderId="7" xfId="0" applyFont="1" applyFill="1" applyBorder="1" applyAlignment="1">
      <alignment vertical="center"/>
    </xf>
    <xf numFmtId="0" fontId="13" fillId="9" borderId="8" xfId="0" applyFont="1" applyFill="1" applyBorder="1" applyAlignment="1">
      <alignment vertical="center"/>
    </xf>
    <xf numFmtId="0" fontId="1" fillId="14" borderId="7" xfId="0" applyFont="1" applyFill="1" applyBorder="1" applyAlignment="1">
      <alignment vertical="center"/>
    </xf>
    <xf numFmtId="0" fontId="12" fillId="12" borderId="0" xfId="0" applyFont="1" applyFill="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2" borderId="0" xfId="0" applyFont="1" applyFill="1" applyAlignment="1">
      <alignment vertical="center"/>
    </xf>
    <xf numFmtId="0" fontId="12" fillId="14" borderId="0" xfId="0" applyFont="1" applyFill="1" applyAlignment="1">
      <alignment vertical="center"/>
    </xf>
    <xf numFmtId="0" fontId="12" fillId="0" borderId="3" xfId="0" applyFont="1" applyBorder="1" applyAlignment="1">
      <alignment horizontal="center" vertical="center"/>
    </xf>
    <xf numFmtId="0" fontId="12" fillId="12" borderId="3" xfId="0" applyFont="1" applyFill="1" applyBorder="1" applyAlignment="1">
      <alignment horizontal="center" vertical="center"/>
    </xf>
    <xf numFmtId="14" fontId="12" fillId="0" borderId="3" xfId="0" applyNumberFormat="1" applyFont="1" applyBorder="1" applyAlignment="1">
      <alignment horizontal="center" vertical="center"/>
    </xf>
    <xf numFmtId="0" fontId="12" fillId="12" borderId="3" xfId="0" applyFont="1" applyFill="1" applyBorder="1" applyAlignment="1">
      <alignment horizontal="center" vertical="center" wrapText="1"/>
    </xf>
    <xf numFmtId="14" fontId="12" fillId="0" borderId="3" xfId="0" applyNumberFormat="1" applyFont="1" applyBorder="1" applyAlignment="1">
      <alignment horizontal="center" vertical="center" wrapText="1"/>
    </xf>
    <xf numFmtId="14" fontId="12" fillId="12" borderId="3" xfId="0" applyNumberFormat="1" applyFont="1" applyFill="1" applyBorder="1" applyAlignment="1">
      <alignment horizontal="center" vertical="center"/>
    </xf>
    <xf numFmtId="49" fontId="24" fillId="0" borderId="3" xfId="0" applyNumberFormat="1" applyFont="1" applyBorder="1" applyAlignment="1">
      <alignment horizontal="left"/>
    </xf>
    <xf numFmtId="0" fontId="24" fillId="0" borderId="3" xfId="0" applyFont="1" applyBorder="1"/>
    <xf numFmtId="0" fontId="19" fillId="11" borderId="3" xfId="0" applyFont="1" applyFill="1" applyBorder="1" applyAlignment="1">
      <alignment horizontal="center" vertical="center" wrapText="1"/>
    </xf>
    <xf numFmtId="0" fontId="19" fillId="11" borderId="3" xfId="0" applyFont="1" applyFill="1" applyBorder="1" applyAlignment="1">
      <alignment horizontal="center" vertical="center"/>
    </xf>
    <xf numFmtId="14" fontId="12" fillId="12" borderId="3" xfId="0" applyNumberFormat="1" applyFont="1" applyFill="1" applyBorder="1" applyAlignment="1">
      <alignment horizontal="center" vertical="center" wrapText="1"/>
    </xf>
    <xf numFmtId="0" fontId="14" fillId="0" borderId="3" xfId="0" applyFont="1" applyBorder="1" applyAlignment="1">
      <alignment horizontal="center" vertical="center" wrapText="1"/>
    </xf>
    <xf numFmtId="49" fontId="12" fillId="12" borderId="3" xfId="0" applyNumberFormat="1" applyFont="1" applyFill="1" applyBorder="1" applyAlignment="1">
      <alignment horizontal="center" vertical="center"/>
    </xf>
    <xf numFmtId="0" fontId="12" fillId="12" borderId="3" xfId="0" applyFont="1" applyFill="1" applyBorder="1" applyAlignment="1">
      <alignment vertical="center" wrapText="1"/>
    </xf>
    <xf numFmtId="0" fontId="12" fillId="0" borderId="3" xfId="0" applyFont="1" applyBorder="1" applyAlignment="1">
      <alignment horizontal="center" vertical="center" wrapText="1"/>
    </xf>
    <xf numFmtId="0" fontId="12" fillId="12" borderId="3" xfId="0" applyFont="1" applyFill="1" applyBorder="1" applyAlignment="1">
      <alignment vertical="center"/>
    </xf>
    <xf numFmtId="0" fontId="14" fillId="12" borderId="3" xfId="0" applyFont="1" applyFill="1" applyBorder="1" applyAlignment="1">
      <alignment horizontal="center" vertical="center" wrapText="1"/>
    </xf>
    <xf numFmtId="49" fontId="12" fillId="0" borderId="3" xfId="0" applyNumberFormat="1" applyFont="1" applyBorder="1" applyAlignment="1">
      <alignment horizontal="center" vertical="center"/>
    </xf>
    <xf numFmtId="0" fontId="23"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22" fillId="0" borderId="3" xfId="0" applyFont="1" applyBorder="1" applyAlignment="1">
      <alignment vertical="center" wrapText="1"/>
    </xf>
    <xf numFmtId="0" fontId="14" fillId="0" borderId="3" xfId="0" applyFont="1" applyBorder="1" applyAlignment="1">
      <alignment horizontal="center" vertical="center"/>
    </xf>
    <xf numFmtId="0" fontId="12" fillId="0" borderId="3" xfId="0" applyFont="1" applyBorder="1" applyAlignment="1">
      <alignment vertical="center"/>
    </xf>
    <xf numFmtId="0" fontId="12" fillId="0" borderId="3" xfId="0" applyFont="1" applyBorder="1" applyAlignment="1">
      <alignment horizontal="center" wrapText="1"/>
    </xf>
    <xf numFmtId="0" fontId="20" fillId="0" borderId="3" xfId="0" applyFont="1" applyBorder="1" applyAlignment="1">
      <alignment horizontal="center" vertical="center"/>
    </xf>
    <xf numFmtId="0" fontId="21" fillId="0" borderId="3" xfId="0" applyFont="1" applyBorder="1" applyAlignment="1">
      <alignment horizontal="center" vertical="center"/>
    </xf>
    <xf numFmtId="0" fontId="22" fillId="0" borderId="3" xfId="0" applyFont="1" applyBorder="1" applyAlignment="1">
      <alignment horizontal="center" vertical="center"/>
    </xf>
    <xf numFmtId="49" fontId="12" fillId="14" borderId="3" xfId="0" applyNumberFormat="1" applyFont="1" applyFill="1" applyBorder="1" applyAlignment="1">
      <alignment horizontal="center" vertical="center"/>
    </xf>
    <xf numFmtId="0" fontId="12" fillId="14" borderId="3" xfId="0" applyFont="1" applyFill="1" applyBorder="1" applyAlignment="1">
      <alignment horizontal="center" vertical="center"/>
    </xf>
    <xf numFmtId="0" fontId="14" fillId="14" borderId="3" xfId="0" applyFont="1" applyFill="1" applyBorder="1" applyAlignment="1">
      <alignment horizontal="center" vertical="center" wrapText="1"/>
    </xf>
    <xf numFmtId="0" fontId="12" fillId="14" borderId="3" xfId="0" applyFont="1" applyFill="1" applyBorder="1" applyAlignment="1">
      <alignment vertical="center"/>
    </xf>
    <xf numFmtId="14" fontId="12" fillId="14" borderId="3" xfId="0" applyNumberFormat="1" applyFont="1" applyFill="1" applyBorder="1" applyAlignment="1">
      <alignment horizontal="center" vertical="center" wrapText="1"/>
    </xf>
    <xf numFmtId="0" fontId="12" fillId="14" borderId="3" xfId="0" applyFont="1" applyFill="1" applyBorder="1" applyAlignment="1">
      <alignment horizontal="center" vertical="center" wrapText="1"/>
    </xf>
    <xf numFmtId="14" fontId="12" fillId="14" borderId="3" xfId="0" applyNumberFormat="1" applyFont="1" applyFill="1" applyBorder="1" applyAlignment="1">
      <alignment horizontal="center" vertical="center"/>
    </xf>
    <xf numFmtId="0" fontId="23" fillId="14" borderId="3" xfId="0" applyFont="1" applyFill="1" applyBorder="1" applyAlignment="1">
      <alignment horizontal="center" vertical="center"/>
    </xf>
    <xf numFmtId="0" fontId="14" fillId="14" borderId="3" xfId="0" applyFont="1" applyFill="1" applyBorder="1" applyAlignment="1">
      <alignment horizontal="center" vertical="center"/>
    </xf>
    <xf numFmtId="0" fontId="22" fillId="14" borderId="3" xfId="0" applyFont="1" applyFill="1" applyBorder="1" applyAlignment="1">
      <alignment horizontal="left" vertical="center"/>
    </xf>
    <xf numFmtId="49" fontId="24" fillId="12" borderId="3" xfId="0" applyNumberFormat="1" applyFont="1" applyFill="1" applyBorder="1" applyAlignment="1">
      <alignment horizontal="left"/>
    </xf>
    <xf numFmtId="0" fontId="12" fillId="14" borderId="0" xfId="0" applyFont="1" applyFill="1" applyAlignment="1">
      <alignment horizontal="center" vertical="center"/>
    </xf>
    <xf numFmtId="49" fontId="24" fillId="14" borderId="3" xfId="0" applyNumberFormat="1" applyFont="1" applyFill="1" applyBorder="1" applyAlignment="1">
      <alignment horizontal="left"/>
    </xf>
    <xf numFmtId="0" fontId="2" fillId="2" borderId="1" xfId="1" applyFont="1" applyFill="1" applyBorder="1" applyAlignment="1" applyProtection="1">
      <alignment horizontal="center" vertical="center"/>
    </xf>
    <xf numFmtId="0" fontId="2" fillId="2" borderId="2" xfId="1" applyFont="1" applyFill="1" applyBorder="1" applyAlignment="1" applyProtection="1">
      <alignment horizontal="center" vertical="center"/>
    </xf>
    <xf numFmtId="0" fontId="2" fillId="6" borderId="3" xfId="2" applyFont="1" applyFill="1" applyBorder="1" applyAlignment="1" applyProtection="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cellXfs>
  <cellStyles count="4">
    <cellStyle name="Normal" xfId="0" builtinId="0"/>
    <cellStyle name="Normal 2 2 4" xfId="1" xr:uid="{00000000-0005-0000-0000-000001000000}"/>
    <cellStyle name="Normal 34" xfId="3" xr:uid="{00000000-0005-0000-0000-000002000000}"/>
    <cellStyle name="Normal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B2:H30"/>
  <sheetViews>
    <sheetView showGridLines="0" topLeftCell="A13" zoomScale="130" zoomScaleNormal="130" workbookViewId="0">
      <selection activeCell="B14" sqref="B14"/>
    </sheetView>
  </sheetViews>
  <sheetFormatPr baseColWidth="10" defaultColWidth="11.5" defaultRowHeight="16"/>
  <cols>
    <col min="2" max="2" width="28.5" bestFit="1" customWidth="1"/>
    <col min="3" max="3" width="6.83203125" bestFit="1" customWidth="1"/>
    <col min="4" max="4" width="10.1640625" bestFit="1" customWidth="1"/>
    <col min="5" max="5" width="9" customWidth="1"/>
    <col min="6" max="7" width="7.1640625" bestFit="1" customWidth="1"/>
    <col min="8" max="8" width="3.1640625" bestFit="1" customWidth="1"/>
    <col min="9" max="9" width="4.33203125" customWidth="1"/>
  </cols>
  <sheetData>
    <row r="2" spans="2:8">
      <c r="B2" s="77" t="s">
        <v>16</v>
      </c>
      <c r="C2" s="77"/>
      <c r="D2" s="77"/>
      <c r="E2" s="77"/>
      <c r="F2" s="77"/>
      <c r="G2" s="77"/>
      <c r="H2" s="78"/>
    </row>
    <row r="3" spans="2:8">
      <c r="B3" s="1"/>
      <c r="C3" s="2" t="s">
        <v>0</v>
      </c>
      <c r="D3" s="2" t="s">
        <v>1</v>
      </c>
      <c r="E3" s="3" t="s">
        <v>2</v>
      </c>
      <c r="F3" s="3" t="s">
        <v>20</v>
      </c>
      <c r="G3" s="3" t="s">
        <v>21</v>
      </c>
      <c r="H3" s="4" t="s">
        <v>3</v>
      </c>
    </row>
    <row r="4" spans="2:8">
      <c r="B4" s="5" t="s">
        <v>17</v>
      </c>
      <c r="C4" s="5">
        <v>47</v>
      </c>
      <c r="D4" s="5"/>
      <c r="E4" s="5"/>
      <c r="F4" s="6"/>
      <c r="G4" s="5"/>
      <c r="H4" s="7"/>
    </row>
    <row r="5" spans="2:8">
      <c r="B5" s="79" t="s">
        <v>4</v>
      </c>
      <c r="C5" s="80"/>
      <c r="D5" s="80"/>
      <c r="E5" s="80"/>
      <c r="F5" s="80"/>
      <c r="G5" s="80"/>
      <c r="H5" s="81"/>
    </row>
    <row r="6" spans="2:8">
      <c r="B6" s="8" t="s">
        <v>5</v>
      </c>
      <c r="C6" s="9">
        <v>47</v>
      </c>
      <c r="D6" s="10">
        <v>39</v>
      </c>
      <c r="E6" s="14">
        <f t="shared" ref="E6:E10" si="0">D6/C6</f>
        <v>0.82978723404255317</v>
      </c>
      <c r="F6" s="11">
        <v>32</v>
      </c>
      <c r="G6" s="11">
        <f>D6</f>
        <v>39</v>
      </c>
      <c r="H6" s="12">
        <f>G6-F6</f>
        <v>7</v>
      </c>
    </row>
    <row r="7" spans="2:8">
      <c r="B7" s="8" t="s">
        <v>6</v>
      </c>
      <c r="C7" s="9">
        <v>47</v>
      </c>
      <c r="D7" s="10">
        <v>39</v>
      </c>
      <c r="E7" s="14">
        <f t="shared" si="0"/>
        <v>0.82978723404255317</v>
      </c>
      <c r="F7" s="15">
        <v>21</v>
      </c>
      <c r="G7" s="15">
        <f t="shared" ref="G7:G10" si="1">D7</f>
        <v>39</v>
      </c>
      <c r="H7" s="12">
        <f>G7-F7</f>
        <v>18</v>
      </c>
    </row>
    <row r="8" spans="2:8">
      <c r="B8" s="8" t="s">
        <v>7</v>
      </c>
      <c r="C8" s="9">
        <v>47</v>
      </c>
      <c r="D8" s="10">
        <v>29</v>
      </c>
      <c r="E8" s="14">
        <f t="shared" si="0"/>
        <v>0.61702127659574468</v>
      </c>
      <c r="F8" s="11">
        <v>21</v>
      </c>
      <c r="G8" s="11">
        <f>D8</f>
        <v>29</v>
      </c>
      <c r="H8" s="12">
        <f>G8-F8</f>
        <v>8</v>
      </c>
    </row>
    <row r="9" spans="2:8">
      <c r="B9" s="8" t="s">
        <v>8</v>
      </c>
      <c r="C9" s="9">
        <v>47</v>
      </c>
      <c r="D9" s="10">
        <v>0</v>
      </c>
      <c r="E9" s="14">
        <f t="shared" si="0"/>
        <v>0</v>
      </c>
      <c r="F9" s="11">
        <v>0</v>
      </c>
      <c r="G9" s="11">
        <f t="shared" si="1"/>
        <v>0</v>
      </c>
      <c r="H9" s="12">
        <f>G9-F9</f>
        <v>0</v>
      </c>
    </row>
    <row r="10" spans="2:8">
      <c r="B10" s="8" t="s">
        <v>9</v>
      </c>
      <c r="C10" s="9">
        <v>47</v>
      </c>
      <c r="D10" s="10">
        <v>0</v>
      </c>
      <c r="E10" s="14">
        <f t="shared" si="0"/>
        <v>0</v>
      </c>
      <c r="F10" s="11">
        <v>0</v>
      </c>
      <c r="G10" s="11">
        <f t="shared" si="1"/>
        <v>0</v>
      </c>
      <c r="H10" s="12">
        <f>G10-F10</f>
        <v>0</v>
      </c>
    </row>
    <row r="12" spans="2:8">
      <c r="B12" s="77" t="s">
        <v>22</v>
      </c>
      <c r="C12" s="77"/>
      <c r="D12" s="77"/>
      <c r="E12" s="77"/>
      <c r="F12" s="77"/>
      <c r="G12" s="77"/>
      <c r="H12" s="78"/>
    </row>
    <row r="13" spans="2:8">
      <c r="B13" s="1"/>
      <c r="C13" s="2" t="s">
        <v>0</v>
      </c>
      <c r="D13" s="2" t="s">
        <v>1</v>
      </c>
      <c r="E13" s="3" t="s">
        <v>2</v>
      </c>
      <c r="F13" s="3" t="s">
        <v>20</v>
      </c>
      <c r="G13" s="3" t="s">
        <v>21</v>
      </c>
      <c r="H13" s="4" t="s">
        <v>3</v>
      </c>
    </row>
    <row r="14" spans="2:8">
      <c r="B14" s="5" t="s">
        <v>17</v>
      </c>
      <c r="C14" s="5">
        <v>16</v>
      </c>
      <c r="D14" s="5"/>
      <c r="E14" s="5"/>
      <c r="F14" s="6"/>
      <c r="G14" s="5"/>
      <c r="H14" s="7"/>
    </row>
    <row r="15" spans="2:8">
      <c r="B15" s="79" t="s">
        <v>4</v>
      </c>
      <c r="C15" s="80"/>
      <c r="D15" s="80"/>
      <c r="E15" s="80"/>
      <c r="F15" s="80"/>
      <c r="G15" s="80"/>
      <c r="H15" s="81"/>
    </row>
    <row r="16" spans="2:8">
      <c r="B16" s="8" t="s">
        <v>5</v>
      </c>
      <c r="C16" s="9">
        <v>16</v>
      </c>
      <c r="D16" s="10">
        <v>16</v>
      </c>
      <c r="E16" s="13">
        <f t="shared" ref="E16:E20" si="2">D16/C16</f>
        <v>1</v>
      </c>
      <c r="F16" s="11">
        <v>16</v>
      </c>
      <c r="G16" s="11">
        <f>D16</f>
        <v>16</v>
      </c>
      <c r="H16" s="12">
        <f>G16-F16</f>
        <v>0</v>
      </c>
    </row>
    <row r="17" spans="2:8">
      <c r="B17" s="8" t="s">
        <v>6</v>
      </c>
      <c r="C17" s="9">
        <v>16</v>
      </c>
      <c r="D17" s="10">
        <v>11</v>
      </c>
      <c r="E17" s="13">
        <f t="shared" si="2"/>
        <v>0.6875</v>
      </c>
      <c r="F17" s="11">
        <v>10</v>
      </c>
      <c r="G17" s="11">
        <f t="shared" ref="G17:G18" si="3">D17</f>
        <v>11</v>
      </c>
      <c r="H17" s="12">
        <f>G17-F17</f>
        <v>1</v>
      </c>
    </row>
    <row r="18" spans="2:8">
      <c r="B18" s="8" t="s">
        <v>7</v>
      </c>
      <c r="C18" s="9">
        <v>16</v>
      </c>
      <c r="D18" s="10">
        <v>10</v>
      </c>
      <c r="E18" s="13">
        <f t="shared" si="2"/>
        <v>0.625</v>
      </c>
      <c r="F18" s="11">
        <v>10</v>
      </c>
      <c r="G18" s="11">
        <f t="shared" si="3"/>
        <v>10</v>
      </c>
      <c r="H18" s="12">
        <f>G18-F18</f>
        <v>0</v>
      </c>
    </row>
    <row r="19" spans="2:8">
      <c r="B19" s="8" t="s">
        <v>8</v>
      </c>
      <c r="C19" s="9">
        <v>16</v>
      </c>
      <c r="D19" s="10">
        <v>0</v>
      </c>
      <c r="E19" s="13">
        <f t="shared" si="2"/>
        <v>0</v>
      </c>
      <c r="F19" s="11">
        <v>0</v>
      </c>
      <c r="G19" s="11">
        <v>0</v>
      </c>
      <c r="H19" s="12">
        <f>G19-F19</f>
        <v>0</v>
      </c>
    </row>
    <row r="20" spans="2:8">
      <c r="B20" s="8" t="s">
        <v>9</v>
      </c>
      <c r="C20" s="9">
        <v>16</v>
      </c>
      <c r="D20" s="10">
        <v>0</v>
      </c>
      <c r="E20" s="13">
        <f t="shared" si="2"/>
        <v>0</v>
      </c>
      <c r="F20" s="11">
        <v>0</v>
      </c>
      <c r="G20" s="11">
        <v>0</v>
      </c>
      <c r="H20" s="12">
        <f>G20-F20</f>
        <v>0</v>
      </c>
    </row>
    <row r="22" spans="2:8">
      <c r="B22" s="77" t="s">
        <v>23</v>
      </c>
      <c r="C22" s="77"/>
      <c r="D22" s="77"/>
      <c r="E22" s="77"/>
      <c r="F22" s="77"/>
      <c r="G22" s="77"/>
      <c r="H22" s="78"/>
    </row>
    <row r="23" spans="2:8">
      <c r="B23" s="1"/>
      <c r="C23" s="2" t="s">
        <v>0</v>
      </c>
      <c r="D23" s="2" t="s">
        <v>1</v>
      </c>
      <c r="E23" s="3" t="s">
        <v>2</v>
      </c>
      <c r="F23" s="3" t="s">
        <v>20</v>
      </c>
      <c r="G23" s="3" t="s">
        <v>21</v>
      </c>
      <c r="H23" s="4" t="s">
        <v>3</v>
      </c>
    </row>
    <row r="24" spans="2:8">
      <c r="B24" s="5" t="s">
        <v>17</v>
      </c>
      <c r="C24" s="5">
        <v>21</v>
      </c>
      <c r="D24" s="5"/>
      <c r="E24" s="5"/>
      <c r="F24" s="6"/>
      <c r="G24" s="5"/>
      <c r="H24" s="7"/>
    </row>
    <row r="25" spans="2:8">
      <c r="B25" s="79" t="s">
        <v>4</v>
      </c>
      <c r="C25" s="80"/>
      <c r="D25" s="80"/>
      <c r="E25" s="80"/>
      <c r="F25" s="80"/>
      <c r="G25" s="80"/>
      <c r="H25" s="81"/>
    </row>
    <row r="26" spans="2:8">
      <c r="B26" s="8" t="s">
        <v>5</v>
      </c>
      <c r="C26" s="9">
        <v>21</v>
      </c>
      <c r="D26" s="10">
        <v>21</v>
      </c>
      <c r="E26" s="13">
        <f t="shared" ref="E26:E30" si="4">D26/C26</f>
        <v>1</v>
      </c>
      <c r="F26" s="11">
        <v>15</v>
      </c>
      <c r="G26" s="11">
        <f>D26</f>
        <v>21</v>
      </c>
      <c r="H26" s="12">
        <f>G26-F26</f>
        <v>6</v>
      </c>
    </row>
    <row r="27" spans="2:8">
      <c r="B27" s="8" t="s">
        <v>6</v>
      </c>
      <c r="C27" s="9">
        <v>21</v>
      </c>
      <c r="D27" s="10">
        <v>15</v>
      </c>
      <c r="E27" s="13">
        <f t="shared" si="4"/>
        <v>0.7142857142857143</v>
      </c>
      <c r="F27" s="11">
        <v>13</v>
      </c>
      <c r="G27" s="11">
        <f t="shared" ref="G27:G28" si="5">D27</f>
        <v>15</v>
      </c>
      <c r="H27" s="12">
        <f>G27-F27</f>
        <v>2</v>
      </c>
    </row>
    <row r="28" spans="2:8">
      <c r="B28" s="8" t="s">
        <v>7</v>
      </c>
      <c r="C28" s="9">
        <v>21</v>
      </c>
      <c r="D28" s="10">
        <v>13</v>
      </c>
      <c r="E28" s="13">
        <f t="shared" si="4"/>
        <v>0.61904761904761907</v>
      </c>
      <c r="F28" s="11">
        <v>13</v>
      </c>
      <c r="G28" s="11">
        <f t="shared" si="5"/>
        <v>13</v>
      </c>
      <c r="H28" s="12">
        <f>G28-F28</f>
        <v>0</v>
      </c>
    </row>
    <row r="29" spans="2:8">
      <c r="B29" s="8" t="s">
        <v>8</v>
      </c>
      <c r="C29" s="9">
        <v>21</v>
      </c>
      <c r="D29" s="10">
        <v>0</v>
      </c>
      <c r="E29" s="13">
        <f t="shared" si="4"/>
        <v>0</v>
      </c>
      <c r="F29" s="11">
        <v>0</v>
      </c>
      <c r="G29" s="11">
        <v>0</v>
      </c>
      <c r="H29" s="12">
        <f>G29-F29</f>
        <v>0</v>
      </c>
    </row>
    <row r="30" spans="2:8">
      <c r="B30" s="8" t="s">
        <v>9</v>
      </c>
      <c r="C30" s="9">
        <v>21</v>
      </c>
      <c r="D30" s="10">
        <v>0</v>
      </c>
      <c r="E30" s="13">
        <f t="shared" si="4"/>
        <v>0</v>
      </c>
      <c r="F30" s="11">
        <v>0</v>
      </c>
      <c r="G30" s="11">
        <v>0</v>
      </c>
      <c r="H30" s="12">
        <f>G30-F30</f>
        <v>0</v>
      </c>
    </row>
  </sheetData>
  <mergeCells count="6">
    <mergeCell ref="B12:H12"/>
    <mergeCell ref="B15:H15"/>
    <mergeCell ref="B22:H22"/>
    <mergeCell ref="B25:H25"/>
    <mergeCell ref="B2:H2"/>
    <mergeCell ref="B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2"/>
  <dimension ref="A1:AT165"/>
  <sheetViews>
    <sheetView tabSelected="1" zoomScale="160" zoomScaleNormal="85" workbookViewId="0">
      <pane xSplit="1" ySplit="1" topLeftCell="B122" activePane="bottomRight" state="frozen"/>
      <selection pane="topRight" activeCell="B1" sqref="B1"/>
      <selection pane="bottomLeft" activeCell="A2" sqref="A2"/>
      <selection pane="bottomRight" activeCell="E138" sqref="E138"/>
    </sheetView>
  </sheetViews>
  <sheetFormatPr baseColWidth="10" defaultColWidth="16.1640625" defaultRowHeight="12"/>
  <cols>
    <col min="1" max="1" width="16.1640625" style="33" bestFit="1" customWidth="1"/>
    <col min="2" max="2" width="8.83203125" style="33" bestFit="1" customWidth="1"/>
    <col min="3" max="3" width="9.5" style="33" bestFit="1" customWidth="1"/>
    <col min="4" max="5" width="11.1640625" style="33" bestFit="1" customWidth="1"/>
    <col min="6" max="6" width="21.6640625" style="33" bestFit="1" customWidth="1"/>
    <col min="7" max="7" width="13.33203125" style="33" bestFit="1" customWidth="1"/>
    <col min="8" max="8" width="15.1640625" style="33" bestFit="1" customWidth="1"/>
    <col min="9" max="9" width="15.6640625" style="33" bestFit="1" customWidth="1"/>
    <col min="10" max="10" width="121.6640625" style="33" bestFit="1" customWidth="1"/>
    <col min="11" max="11" width="11.1640625" style="33" bestFit="1" customWidth="1"/>
    <col min="12" max="12" width="11.5" style="33" bestFit="1" customWidth="1"/>
    <col min="13" max="46" width="16.1640625" style="32"/>
    <col min="47" max="16384" width="16.1640625" style="33"/>
  </cols>
  <sheetData>
    <row r="1" spans="1:46" ht="26">
      <c r="A1" s="45" t="s">
        <v>10</v>
      </c>
      <c r="B1" s="45" t="s">
        <v>11</v>
      </c>
      <c r="C1" s="45" t="s">
        <v>31</v>
      </c>
      <c r="D1" s="45" t="s">
        <v>15</v>
      </c>
      <c r="E1" s="45" t="s">
        <v>32</v>
      </c>
      <c r="F1" s="45" t="s">
        <v>12</v>
      </c>
      <c r="G1" s="46" t="s">
        <v>51</v>
      </c>
      <c r="H1" s="45" t="s">
        <v>13</v>
      </c>
      <c r="I1" s="45" t="s">
        <v>14</v>
      </c>
      <c r="J1" s="45" t="s">
        <v>188</v>
      </c>
      <c r="K1" s="45" t="s">
        <v>189</v>
      </c>
      <c r="L1" s="45" t="s">
        <v>274</v>
      </c>
    </row>
    <row r="2" spans="1:46" s="34" customFormat="1" ht="13">
      <c r="A2" s="38" t="s">
        <v>270</v>
      </c>
      <c r="B2" s="38" t="s">
        <v>215</v>
      </c>
      <c r="C2" s="38"/>
      <c r="D2" s="38"/>
      <c r="E2" s="38" t="s">
        <v>18</v>
      </c>
      <c r="F2" s="40" t="s">
        <v>33</v>
      </c>
      <c r="G2" s="38" t="s">
        <v>298</v>
      </c>
      <c r="H2" s="47">
        <v>46085</v>
      </c>
      <c r="I2" s="47">
        <v>46085</v>
      </c>
      <c r="J2" s="40"/>
      <c r="K2" s="48"/>
      <c r="L2" s="37" t="s">
        <v>25</v>
      </c>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row>
    <row r="3" spans="1:46" s="34" customFormat="1">
      <c r="A3" s="38" t="s">
        <v>246</v>
      </c>
      <c r="B3" s="37" t="s">
        <v>215</v>
      </c>
      <c r="C3" s="54" t="s">
        <v>24</v>
      </c>
      <c r="D3" s="54" t="s">
        <v>239</v>
      </c>
      <c r="E3" s="37" t="s">
        <v>18</v>
      </c>
      <c r="F3" s="38" t="s">
        <v>33</v>
      </c>
      <c r="G3" s="37" t="s">
        <v>298</v>
      </c>
      <c r="H3" s="39">
        <v>46084</v>
      </c>
      <c r="I3" s="39">
        <v>46084</v>
      </c>
      <c r="J3" s="37" t="s">
        <v>241</v>
      </c>
      <c r="K3" s="48"/>
      <c r="L3" s="37" t="s">
        <v>25</v>
      </c>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row>
    <row r="4" spans="1:46" ht="13">
      <c r="A4" s="65" t="s">
        <v>252</v>
      </c>
      <c r="B4" s="65" t="s">
        <v>215</v>
      </c>
      <c r="C4" s="65" t="s">
        <v>24</v>
      </c>
      <c r="D4" s="65" t="s">
        <v>239</v>
      </c>
      <c r="E4" s="65" t="s">
        <v>18</v>
      </c>
      <c r="F4" s="65"/>
      <c r="G4" s="65"/>
      <c r="H4" s="68"/>
      <c r="I4" s="68"/>
      <c r="J4" s="69" t="s">
        <v>277</v>
      </c>
      <c r="K4" s="65" t="s">
        <v>276</v>
      </c>
      <c r="L4" s="67"/>
    </row>
    <row r="5" spans="1:46" s="34" customFormat="1" ht="13">
      <c r="A5" s="65" t="s">
        <v>253</v>
      </c>
      <c r="B5" s="65" t="s">
        <v>215</v>
      </c>
      <c r="C5" s="65" t="s">
        <v>24</v>
      </c>
      <c r="D5" s="65" t="s">
        <v>239</v>
      </c>
      <c r="E5" s="65" t="s">
        <v>18</v>
      </c>
      <c r="F5" s="67"/>
      <c r="G5" s="65"/>
      <c r="H5" s="70"/>
      <c r="I5" s="70"/>
      <c r="J5" s="69" t="s">
        <v>277</v>
      </c>
      <c r="K5" s="65" t="s">
        <v>276</v>
      </c>
      <c r="L5" s="67"/>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row>
    <row r="6" spans="1:46" s="34" customFormat="1">
      <c r="A6" s="38" t="s">
        <v>341</v>
      </c>
      <c r="B6" s="37" t="s">
        <v>215</v>
      </c>
      <c r="C6" s="37"/>
      <c r="D6" s="37"/>
      <c r="E6" s="37" t="s">
        <v>18</v>
      </c>
      <c r="F6" s="37"/>
      <c r="G6" s="37"/>
      <c r="H6" s="37"/>
      <c r="I6" s="37"/>
      <c r="J6" s="37"/>
      <c r="K6" s="37"/>
      <c r="L6" s="37"/>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row>
    <row r="7" spans="1:46">
      <c r="A7" s="38" t="s">
        <v>342</v>
      </c>
      <c r="B7" s="37" t="s">
        <v>215</v>
      </c>
      <c r="C7" s="37"/>
      <c r="D7" s="37"/>
      <c r="E7" s="37" t="s">
        <v>18</v>
      </c>
      <c r="F7" s="37" t="s">
        <v>53</v>
      </c>
      <c r="G7" s="37" t="s">
        <v>392</v>
      </c>
      <c r="H7" s="39">
        <v>46112</v>
      </c>
      <c r="I7" s="39">
        <v>46112</v>
      </c>
      <c r="J7" s="37"/>
      <c r="K7" s="37"/>
      <c r="L7" s="37" t="s">
        <v>25</v>
      </c>
    </row>
    <row r="8" spans="1:46" s="34" customFormat="1">
      <c r="A8" s="38" t="s">
        <v>343</v>
      </c>
      <c r="B8" s="37" t="s">
        <v>215</v>
      </c>
      <c r="C8" s="37"/>
      <c r="D8" s="37"/>
      <c r="E8" s="37" t="s">
        <v>18</v>
      </c>
      <c r="F8" s="37" t="s">
        <v>357</v>
      </c>
      <c r="G8" s="37" t="s">
        <v>392</v>
      </c>
      <c r="H8" s="39">
        <v>46111</v>
      </c>
      <c r="I8" s="39">
        <v>46111</v>
      </c>
      <c r="J8" s="37"/>
      <c r="K8" s="37"/>
      <c r="L8" s="37" t="s">
        <v>25</v>
      </c>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row>
    <row r="9" spans="1:46" s="34" customFormat="1">
      <c r="A9" s="38" t="s">
        <v>355</v>
      </c>
      <c r="B9" s="37" t="s">
        <v>215</v>
      </c>
      <c r="C9" s="37"/>
      <c r="D9" s="37"/>
      <c r="E9" s="37" t="s">
        <v>18</v>
      </c>
      <c r="F9" s="37"/>
      <c r="G9" s="37"/>
      <c r="H9" s="39"/>
      <c r="I9" s="37"/>
      <c r="J9" s="37"/>
      <c r="K9" s="37"/>
      <c r="L9" s="37"/>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row>
    <row r="10" spans="1:46" s="34" customFormat="1">
      <c r="A10" s="38" t="s">
        <v>354</v>
      </c>
      <c r="B10" s="37" t="s">
        <v>215</v>
      </c>
      <c r="C10" s="37"/>
      <c r="D10" s="37"/>
      <c r="E10" s="37" t="s">
        <v>18</v>
      </c>
      <c r="F10" s="37"/>
      <c r="G10" s="37"/>
      <c r="H10" s="39"/>
      <c r="I10" s="37"/>
      <c r="J10" s="37"/>
      <c r="K10" s="37"/>
      <c r="L10" s="37"/>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row>
    <row r="11" spans="1:46" s="34" customFormat="1" ht="13">
      <c r="A11" s="64" t="s">
        <v>214</v>
      </c>
      <c r="B11" s="65" t="s">
        <v>215</v>
      </c>
      <c r="C11" s="64" t="s">
        <v>24</v>
      </c>
      <c r="D11" s="64" t="s">
        <v>19</v>
      </c>
      <c r="E11" s="65" t="s">
        <v>18</v>
      </c>
      <c r="F11" s="65"/>
      <c r="G11" s="65"/>
      <c r="H11" s="65"/>
      <c r="I11" s="65"/>
      <c r="J11" s="66" t="s">
        <v>277</v>
      </c>
      <c r="K11" s="65" t="s">
        <v>276</v>
      </c>
      <c r="L11" s="67"/>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row>
    <row r="12" spans="1:46" s="34" customFormat="1">
      <c r="A12" s="38" t="s">
        <v>344</v>
      </c>
      <c r="B12" s="37" t="s">
        <v>215</v>
      </c>
      <c r="C12" s="37"/>
      <c r="D12" s="37"/>
      <c r="E12" s="37" t="s">
        <v>18</v>
      </c>
      <c r="F12" s="37" t="s">
        <v>357</v>
      </c>
      <c r="G12" s="37" t="s">
        <v>392</v>
      </c>
      <c r="H12" s="39">
        <v>46111</v>
      </c>
      <c r="I12" s="39">
        <v>46111</v>
      </c>
      <c r="J12" s="37"/>
      <c r="K12" s="37"/>
      <c r="L12" s="37" t="s">
        <v>25</v>
      </c>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row>
    <row r="13" spans="1:46" s="34" customFormat="1" ht="13">
      <c r="A13" s="65" t="s">
        <v>254</v>
      </c>
      <c r="B13" s="65" t="s">
        <v>255</v>
      </c>
      <c r="C13" s="65" t="s">
        <v>24</v>
      </c>
      <c r="D13" s="65" t="s">
        <v>19</v>
      </c>
      <c r="E13" s="65" t="s">
        <v>18</v>
      </c>
      <c r="F13" s="65"/>
      <c r="G13" s="65"/>
      <c r="H13" s="70"/>
      <c r="I13" s="70"/>
      <c r="J13" s="69" t="s">
        <v>277</v>
      </c>
      <c r="K13" s="65" t="s">
        <v>276</v>
      </c>
      <c r="L13" s="67"/>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row>
    <row r="14" spans="1:46" s="34" customFormat="1">
      <c r="A14" s="38" t="s">
        <v>345</v>
      </c>
      <c r="B14" s="37" t="s">
        <v>211</v>
      </c>
      <c r="C14" s="37" t="s">
        <v>24</v>
      </c>
      <c r="D14" s="37"/>
      <c r="E14" s="37" t="s">
        <v>18</v>
      </c>
      <c r="F14" s="37" t="s">
        <v>357</v>
      </c>
      <c r="G14" s="37" t="s">
        <v>387</v>
      </c>
      <c r="H14" s="39">
        <v>46105</v>
      </c>
      <c r="I14" s="39">
        <v>46106</v>
      </c>
      <c r="J14" s="37"/>
      <c r="K14" s="37"/>
      <c r="L14" s="37" t="s">
        <v>25</v>
      </c>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row>
    <row r="15" spans="1:46" s="75" customFormat="1">
      <c r="A15" s="65" t="s">
        <v>346</v>
      </c>
      <c r="B15" s="65" t="s">
        <v>211</v>
      </c>
      <c r="C15" s="65"/>
      <c r="D15" s="65"/>
      <c r="E15" s="65" t="s">
        <v>18</v>
      </c>
      <c r="F15" s="65"/>
      <c r="G15" s="65"/>
      <c r="H15" s="65"/>
      <c r="I15" s="65"/>
      <c r="J15" s="65"/>
      <c r="K15" s="65"/>
      <c r="L15" s="65"/>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row>
    <row r="16" spans="1:46" s="34" customFormat="1">
      <c r="A16" s="38" t="s">
        <v>284</v>
      </c>
      <c r="B16" s="37" t="s">
        <v>211</v>
      </c>
      <c r="C16" s="37"/>
      <c r="D16" s="37"/>
      <c r="E16" s="37" t="s">
        <v>18</v>
      </c>
      <c r="F16" s="37" t="s">
        <v>297</v>
      </c>
      <c r="G16" s="37" t="s">
        <v>282</v>
      </c>
      <c r="H16" s="47">
        <v>46083</v>
      </c>
      <c r="I16" s="47">
        <v>46084</v>
      </c>
      <c r="J16" s="51"/>
      <c r="K16" s="48"/>
      <c r="L16" s="37" t="s">
        <v>25</v>
      </c>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row>
    <row r="17" spans="1:46" s="35" customFormat="1">
      <c r="A17" s="38" t="s">
        <v>285</v>
      </c>
      <c r="B17" s="37" t="s">
        <v>211</v>
      </c>
      <c r="C17" s="38"/>
      <c r="D17" s="38"/>
      <c r="E17" s="37" t="s">
        <v>18</v>
      </c>
      <c r="F17" s="37" t="s">
        <v>297</v>
      </c>
      <c r="G17" s="38" t="s">
        <v>320</v>
      </c>
      <c r="H17" s="42">
        <v>46090</v>
      </c>
      <c r="I17" s="42">
        <v>46091</v>
      </c>
      <c r="J17" s="40"/>
      <c r="K17" s="48"/>
      <c r="L17" s="37" t="s">
        <v>25</v>
      </c>
    </row>
    <row r="18" spans="1:46" s="34" customFormat="1">
      <c r="A18" s="38" t="s">
        <v>347</v>
      </c>
      <c r="B18" s="37" t="s">
        <v>211</v>
      </c>
      <c r="C18" s="37" t="s">
        <v>24</v>
      </c>
      <c r="D18" s="37"/>
      <c r="E18" s="37" t="s">
        <v>18</v>
      </c>
      <c r="F18" s="37" t="s">
        <v>53</v>
      </c>
      <c r="G18" s="37" t="s">
        <v>387</v>
      </c>
      <c r="H18" s="39">
        <v>46106</v>
      </c>
      <c r="I18" s="39">
        <v>46108</v>
      </c>
      <c r="J18" s="37"/>
      <c r="K18" s="37"/>
      <c r="L18" s="37" t="s">
        <v>25</v>
      </c>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row>
    <row r="19" spans="1:46" s="34" customFormat="1">
      <c r="A19" s="38" t="s">
        <v>286</v>
      </c>
      <c r="B19" s="38" t="s">
        <v>211</v>
      </c>
      <c r="C19" s="38"/>
      <c r="D19" s="38"/>
      <c r="E19" s="37" t="s">
        <v>18</v>
      </c>
      <c r="F19" s="38" t="s">
        <v>268</v>
      </c>
      <c r="G19" s="38" t="s">
        <v>298</v>
      </c>
      <c r="H19" s="47">
        <v>46087</v>
      </c>
      <c r="I19" s="47">
        <v>46088</v>
      </c>
      <c r="J19" s="40"/>
      <c r="K19" s="48"/>
      <c r="L19" s="37" t="s">
        <v>25</v>
      </c>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row>
    <row r="20" spans="1:46" s="34" customFormat="1">
      <c r="A20" s="38" t="s">
        <v>348</v>
      </c>
      <c r="B20" s="38" t="s">
        <v>211</v>
      </c>
      <c r="C20" s="38" t="s">
        <v>24</v>
      </c>
      <c r="D20" s="37"/>
      <c r="E20" s="37" t="s">
        <v>18</v>
      </c>
      <c r="F20" s="37" t="s">
        <v>33</v>
      </c>
      <c r="G20" s="37" t="s">
        <v>387</v>
      </c>
      <c r="H20" s="39">
        <v>46105</v>
      </c>
      <c r="I20" s="39">
        <v>46105</v>
      </c>
      <c r="J20" s="37"/>
      <c r="K20" s="37"/>
      <c r="L20" s="37" t="s">
        <v>25</v>
      </c>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row>
    <row r="21" spans="1:46" s="36" customFormat="1">
      <c r="A21" s="65" t="s">
        <v>271</v>
      </c>
      <c r="B21" s="65" t="s">
        <v>211</v>
      </c>
      <c r="C21" s="65"/>
      <c r="D21" s="65"/>
      <c r="E21" s="65" t="s">
        <v>18</v>
      </c>
      <c r="F21" s="69"/>
      <c r="G21" s="65"/>
      <c r="H21" s="68"/>
      <c r="I21" s="69"/>
      <c r="J21" s="65" t="s">
        <v>396</v>
      </c>
      <c r="K21" s="66"/>
      <c r="L21" s="6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row>
    <row r="22" spans="1:46" s="36" customFormat="1">
      <c r="A22" s="65" t="s">
        <v>325</v>
      </c>
      <c r="B22" s="65" t="s">
        <v>211</v>
      </c>
      <c r="C22" s="65"/>
      <c r="D22" s="65"/>
      <c r="E22" s="65" t="s">
        <v>18</v>
      </c>
      <c r="F22" s="65"/>
      <c r="G22" s="65"/>
      <c r="H22" s="65"/>
      <c r="I22" s="65"/>
      <c r="J22" s="65"/>
      <c r="K22" s="65"/>
      <c r="L22" s="6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row>
    <row r="23" spans="1:46" s="36" customFormat="1">
      <c r="A23" s="65" t="s">
        <v>326</v>
      </c>
      <c r="B23" s="65" t="s">
        <v>211</v>
      </c>
      <c r="C23" s="65"/>
      <c r="D23" s="65"/>
      <c r="E23" s="65" t="s">
        <v>18</v>
      </c>
      <c r="F23" s="65"/>
      <c r="G23" s="65"/>
      <c r="H23" s="65"/>
      <c r="I23" s="65"/>
      <c r="J23" s="65"/>
      <c r="K23" s="65"/>
      <c r="L23" s="6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row>
    <row r="24" spans="1:46" s="35" customFormat="1" ht="26">
      <c r="A24" s="38" t="s">
        <v>210</v>
      </c>
      <c r="B24" s="38" t="s">
        <v>211</v>
      </c>
      <c r="C24" s="38" t="s">
        <v>227</v>
      </c>
      <c r="D24" s="54" t="s">
        <v>212</v>
      </c>
      <c r="E24" s="37" t="s">
        <v>18</v>
      </c>
      <c r="F24" s="37" t="s">
        <v>52</v>
      </c>
      <c r="G24" s="39" t="s">
        <v>213</v>
      </c>
      <c r="H24" s="39">
        <v>46026</v>
      </c>
      <c r="I24" s="39">
        <v>46034</v>
      </c>
      <c r="J24" s="51" t="s">
        <v>279</v>
      </c>
      <c r="K24" s="37"/>
      <c r="L24" s="37" t="s">
        <v>25</v>
      </c>
    </row>
    <row r="25" spans="1:46" s="34" customFormat="1" ht="65">
      <c r="A25" s="38" t="s">
        <v>228</v>
      </c>
      <c r="B25" s="38" t="s">
        <v>211</v>
      </c>
      <c r="C25" s="38" t="s">
        <v>220</v>
      </c>
      <c r="D25" s="54" t="s">
        <v>120</v>
      </c>
      <c r="E25" s="37" t="s">
        <v>18</v>
      </c>
      <c r="F25" s="37" t="s">
        <v>269</v>
      </c>
      <c r="G25" s="37" t="s">
        <v>245</v>
      </c>
      <c r="H25" s="39">
        <v>46057</v>
      </c>
      <c r="I25" s="39">
        <v>46077</v>
      </c>
      <c r="J25" s="51" t="s">
        <v>266</v>
      </c>
      <c r="K25" s="48"/>
      <c r="L25" s="37" t="s">
        <v>25</v>
      </c>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row>
    <row r="26" spans="1:46" s="34" customFormat="1">
      <c r="A26" s="38" t="s">
        <v>256</v>
      </c>
      <c r="B26" s="38" t="s">
        <v>211</v>
      </c>
      <c r="C26" s="38" t="s">
        <v>220</v>
      </c>
      <c r="D26" s="38" t="s">
        <v>111</v>
      </c>
      <c r="E26" s="38" t="s">
        <v>18</v>
      </c>
      <c r="F26" s="37" t="s">
        <v>268</v>
      </c>
      <c r="G26" s="38" t="s">
        <v>282</v>
      </c>
      <c r="H26" s="42">
        <v>46078</v>
      </c>
      <c r="I26" s="42">
        <v>46081</v>
      </c>
      <c r="J26" s="38"/>
      <c r="K26" s="48"/>
      <c r="L26" s="37" t="s">
        <v>25</v>
      </c>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row>
    <row r="27" spans="1:46" s="35" customFormat="1">
      <c r="A27" s="38" t="s">
        <v>287</v>
      </c>
      <c r="B27" s="38" t="s">
        <v>211</v>
      </c>
      <c r="C27" s="38"/>
      <c r="D27" s="51"/>
      <c r="E27" s="37" t="s">
        <v>18</v>
      </c>
      <c r="F27" s="37" t="s">
        <v>297</v>
      </c>
      <c r="G27" s="37" t="s">
        <v>298</v>
      </c>
      <c r="H27" s="47">
        <v>46086</v>
      </c>
      <c r="I27" s="47">
        <v>46087</v>
      </c>
      <c r="J27" s="51"/>
      <c r="K27" s="48"/>
      <c r="L27" s="37" t="s">
        <v>25</v>
      </c>
    </row>
    <row r="28" spans="1:46" s="34" customFormat="1" ht="13">
      <c r="A28" s="38" t="s">
        <v>349</v>
      </c>
      <c r="B28" s="38" t="s">
        <v>211</v>
      </c>
      <c r="C28" s="38" t="s">
        <v>24</v>
      </c>
      <c r="D28" s="38"/>
      <c r="E28" s="37" t="s">
        <v>18</v>
      </c>
      <c r="F28" s="40" t="s">
        <v>33</v>
      </c>
      <c r="G28" s="38" t="s">
        <v>387</v>
      </c>
      <c r="H28" s="42">
        <v>46106</v>
      </c>
      <c r="I28" s="42">
        <v>46107</v>
      </c>
      <c r="J28" s="40"/>
      <c r="K28" s="48"/>
      <c r="L28" s="37" t="s">
        <v>25</v>
      </c>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row>
    <row r="29" spans="1:46">
      <c r="A29" s="65" t="s">
        <v>229</v>
      </c>
      <c r="B29" s="65" t="s">
        <v>211</v>
      </c>
      <c r="C29" s="65" t="s">
        <v>227</v>
      </c>
      <c r="D29" s="64" t="s">
        <v>111</v>
      </c>
      <c r="E29" s="65" t="s">
        <v>18</v>
      </c>
      <c r="F29" s="65"/>
      <c r="G29" s="65"/>
      <c r="H29" s="65"/>
      <c r="I29" s="65"/>
      <c r="J29" s="72" t="s">
        <v>275</v>
      </c>
      <c r="K29" s="65"/>
      <c r="L29" s="67"/>
    </row>
    <row r="30" spans="1:46" s="34" customFormat="1">
      <c r="A30" s="65" t="s">
        <v>350</v>
      </c>
      <c r="B30" s="65" t="s">
        <v>211</v>
      </c>
      <c r="C30" s="65"/>
      <c r="D30" s="65"/>
      <c r="E30" s="65" t="s">
        <v>18</v>
      </c>
      <c r="F30" s="65"/>
      <c r="G30" s="65"/>
      <c r="H30" s="70"/>
      <c r="I30" s="65"/>
      <c r="J30" s="65" t="s">
        <v>388</v>
      </c>
      <c r="K30" s="65"/>
      <c r="L30" s="6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row>
    <row r="31" spans="1:46" s="34" customFormat="1">
      <c r="A31" s="65" t="s">
        <v>351</v>
      </c>
      <c r="B31" s="65" t="s">
        <v>211</v>
      </c>
      <c r="C31" s="65"/>
      <c r="D31" s="65"/>
      <c r="E31" s="65" t="s">
        <v>18</v>
      </c>
      <c r="F31" s="65"/>
      <c r="G31" s="65"/>
      <c r="H31" s="70"/>
      <c r="I31" s="65"/>
      <c r="J31" s="65" t="s">
        <v>388</v>
      </c>
      <c r="K31" s="65"/>
      <c r="L31" s="6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row>
    <row r="32" spans="1:46" s="34" customFormat="1" ht="13">
      <c r="A32" s="38" t="s">
        <v>352</v>
      </c>
      <c r="B32" s="38" t="s">
        <v>211</v>
      </c>
      <c r="C32" s="38" t="s">
        <v>24</v>
      </c>
      <c r="D32" s="38"/>
      <c r="E32" s="37" t="s">
        <v>18</v>
      </c>
      <c r="F32" s="40" t="s">
        <v>357</v>
      </c>
      <c r="G32" s="38" t="s">
        <v>387</v>
      </c>
      <c r="H32" s="42">
        <v>46107</v>
      </c>
      <c r="I32" s="42">
        <v>46107</v>
      </c>
      <c r="J32" s="40"/>
      <c r="K32" s="48"/>
      <c r="L32" s="37" t="s">
        <v>25</v>
      </c>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row>
    <row r="33" spans="1:46" s="32" customFormat="1">
      <c r="A33" s="38" t="s">
        <v>288</v>
      </c>
      <c r="B33" s="38" t="s">
        <v>211</v>
      </c>
      <c r="C33" s="38"/>
      <c r="D33" s="38"/>
      <c r="E33" s="37" t="s">
        <v>18</v>
      </c>
      <c r="F33" s="38" t="s">
        <v>268</v>
      </c>
      <c r="G33" s="38" t="s">
        <v>298</v>
      </c>
      <c r="H33" s="47">
        <v>46085</v>
      </c>
      <c r="I33" s="47">
        <v>46085</v>
      </c>
      <c r="J33" s="40"/>
      <c r="K33" s="48"/>
      <c r="L33" s="37" t="s">
        <v>25</v>
      </c>
    </row>
    <row r="34" spans="1:46" s="32" customFormat="1">
      <c r="A34" s="38" t="s">
        <v>289</v>
      </c>
      <c r="B34" s="38" t="s">
        <v>211</v>
      </c>
      <c r="C34" s="38"/>
      <c r="D34" s="37"/>
      <c r="E34" s="37" t="s">
        <v>18</v>
      </c>
      <c r="F34" s="37" t="s">
        <v>297</v>
      </c>
      <c r="G34" s="37" t="s">
        <v>320</v>
      </c>
      <c r="H34" s="42">
        <v>46095</v>
      </c>
      <c r="I34" s="42">
        <v>46095</v>
      </c>
      <c r="J34" s="37" t="s">
        <v>319</v>
      </c>
      <c r="K34" s="48"/>
      <c r="L34" s="37" t="s">
        <v>25</v>
      </c>
    </row>
    <row r="35" spans="1:46" s="34" customFormat="1" ht="26">
      <c r="A35" s="64" t="s">
        <v>216</v>
      </c>
      <c r="B35" s="64" t="s">
        <v>211</v>
      </c>
      <c r="C35" s="64" t="s">
        <v>227</v>
      </c>
      <c r="D35" s="64" t="s">
        <v>212</v>
      </c>
      <c r="E35" s="65" t="s">
        <v>18</v>
      </c>
      <c r="F35" s="65"/>
      <c r="G35" s="65"/>
      <c r="H35" s="70"/>
      <c r="I35" s="65"/>
      <c r="J35" s="69" t="s">
        <v>221</v>
      </c>
      <c r="K35" s="72"/>
      <c r="L35" s="6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row>
    <row r="36" spans="1:46" s="34" customFormat="1">
      <c r="A36" s="38" t="s">
        <v>290</v>
      </c>
      <c r="B36" s="38" t="s">
        <v>211</v>
      </c>
      <c r="C36" s="38"/>
      <c r="D36" s="38"/>
      <c r="E36" s="38" t="s">
        <v>18</v>
      </c>
      <c r="F36" s="38" t="s">
        <v>297</v>
      </c>
      <c r="G36" s="38" t="s">
        <v>320</v>
      </c>
      <c r="H36" s="47">
        <v>46092</v>
      </c>
      <c r="I36" s="47">
        <v>46092</v>
      </c>
      <c r="J36" s="40"/>
      <c r="K36" s="53"/>
      <c r="L36" s="37" t="s">
        <v>25</v>
      </c>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row>
    <row r="37" spans="1:46" s="34" customFormat="1" ht="13">
      <c r="A37" s="38" t="s">
        <v>291</v>
      </c>
      <c r="B37" s="38" t="s">
        <v>211</v>
      </c>
      <c r="C37" s="38"/>
      <c r="D37" s="38"/>
      <c r="E37" s="37" t="s">
        <v>18</v>
      </c>
      <c r="F37" s="40" t="s">
        <v>33</v>
      </c>
      <c r="G37" s="38" t="s">
        <v>298</v>
      </c>
      <c r="H37" s="42">
        <v>46087</v>
      </c>
      <c r="I37" s="42">
        <v>46087</v>
      </c>
      <c r="J37" s="40"/>
      <c r="K37" s="48"/>
      <c r="L37" s="37" t="s">
        <v>25</v>
      </c>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row>
    <row r="38" spans="1:46" s="35" customFormat="1">
      <c r="A38" s="38" t="s">
        <v>272</v>
      </c>
      <c r="B38" s="38" t="s">
        <v>211</v>
      </c>
      <c r="C38" s="38" t="s">
        <v>227</v>
      </c>
      <c r="D38" s="37" t="s">
        <v>111</v>
      </c>
      <c r="E38" s="38" t="s">
        <v>18</v>
      </c>
      <c r="F38" s="37" t="s">
        <v>33</v>
      </c>
      <c r="G38" s="37" t="s">
        <v>250</v>
      </c>
      <c r="H38" s="39">
        <v>46071</v>
      </c>
      <c r="I38" s="39">
        <v>46074</v>
      </c>
      <c r="J38" s="37"/>
      <c r="K38" s="59"/>
      <c r="L38" s="37" t="s">
        <v>25</v>
      </c>
    </row>
    <row r="39" spans="1:46" s="32" customFormat="1">
      <c r="A39" s="38" t="s">
        <v>327</v>
      </c>
      <c r="B39" s="38" t="s">
        <v>211</v>
      </c>
      <c r="C39" s="38" t="s">
        <v>227</v>
      </c>
      <c r="D39" s="37" t="s">
        <v>111</v>
      </c>
      <c r="E39" s="37" t="s">
        <v>18</v>
      </c>
      <c r="F39" s="37" t="s">
        <v>33</v>
      </c>
      <c r="G39" s="37" t="s">
        <v>320</v>
      </c>
      <c r="H39" s="39">
        <v>46095</v>
      </c>
      <c r="I39" s="39">
        <v>46095</v>
      </c>
      <c r="J39" s="37"/>
      <c r="K39" s="48"/>
      <c r="L39" s="37" t="s">
        <v>25</v>
      </c>
    </row>
    <row r="40" spans="1:46" s="34" customFormat="1">
      <c r="A40" s="38" t="s">
        <v>328</v>
      </c>
      <c r="B40" s="38" t="s">
        <v>211</v>
      </c>
      <c r="C40" s="38" t="s">
        <v>227</v>
      </c>
      <c r="D40" s="37" t="s">
        <v>111</v>
      </c>
      <c r="E40" s="37" t="s">
        <v>18</v>
      </c>
      <c r="F40" s="37" t="s">
        <v>33</v>
      </c>
      <c r="G40" s="37" t="s">
        <v>320</v>
      </c>
      <c r="H40" s="39">
        <v>46095</v>
      </c>
      <c r="I40" s="39">
        <v>46095</v>
      </c>
      <c r="J40" s="37"/>
      <c r="K40" s="48"/>
      <c r="L40" s="37" t="s">
        <v>25</v>
      </c>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row>
    <row r="41" spans="1:46" s="32" customFormat="1">
      <c r="A41" s="38" t="s">
        <v>292</v>
      </c>
      <c r="B41" s="38" t="s">
        <v>211</v>
      </c>
      <c r="C41" s="38"/>
      <c r="D41" s="51"/>
      <c r="E41" s="37" t="s">
        <v>18</v>
      </c>
      <c r="F41" s="52" t="s">
        <v>268</v>
      </c>
      <c r="G41" s="38" t="s">
        <v>320</v>
      </c>
      <c r="H41" s="42">
        <v>46090</v>
      </c>
      <c r="I41" s="42">
        <v>46090</v>
      </c>
      <c r="J41" s="37"/>
      <c r="K41" s="48"/>
      <c r="L41" s="37" t="s">
        <v>25</v>
      </c>
    </row>
    <row r="42" spans="1:46" s="34" customFormat="1">
      <c r="A42" s="38" t="s">
        <v>293</v>
      </c>
      <c r="B42" s="38" t="s">
        <v>211</v>
      </c>
      <c r="C42" s="38"/>
      <c r="D42" s="51"/>
      <c r="E42" s="37" t="s">
        <v>18</v>
      </c>
      <c r="F42" s="37" t="s">
        <v>268</v>
      </c>
      <c r="G42" s="37" t="s">
        <v>298</v>
      </c>
      <c r="H42" s="42">
        <v>46086</v>
      </c>
      <c r="I42" s="42">
        <v>46086</v>
      </c>
      <c r="J42" s="51"/>
      <c r="K42" s="48"/>
      <c r="L42" s="37" t="s">
        <v>25</v>
      </c>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row>
    <row r="43" spans="1:46" s="35" customFormat="1">
      <c r="A43" s="38" t="s">
        <v>294</v>
      </c>
      <c r="B43" s="38" t="s">
        <v>211</v>
      </c>
      <c r="C43" s="38" t="s">
        <v>24</v>
      </c>
      <c r="D43" s="37"/>
      <c r="E43" s="37" t="s">
        <v>18</v>
      </c>
      <c r="F43" s="37" t="s">
        <v>33</v>
      </c>
      <c r="G43" s="37" t="s">
        <v>387</v>
      </c>
      <c r="H43" s="39">
        <v>46108</v>
      </c>
      <c r="I43" s="39">
        <v>46108</v>
      </c>
      <c r="J43" s="37"/>
      <c r="K43" s="37"/>
      <c r="L43" s="37" t="s">
        <v>25</v>
      </c>
    </row>
    <row r="44" spans="1:46" s="34" customFormat="1">
      <c r="A44" s="38" t="s">
        <v>295</v>
      </c>
      <c r="B44" s="38" t="s">
        <v>211</v>
      </c>
      <c r="C44" s="38"/>
      <c r="D44" s="37"/>
      <c r="E44" s="37" t="s">
        <v>18</v>
      </c>
      <c r="F44" s="38" t="s">
        <v>297</v>
      </c>
      <c r="G44" s="37" t="s">
        <v>298</v>
      </c>
      <c r="H44" s="41">
        <v>46087</v>
      </c>
      <c r="I44" s="41">
        <v>46088</v>
      </c>
      <c r="J44" s="51"/>
      <c r="K44" s="48"/>
      <c r="L44" s="37" t="s">
        <v>25</v>
      </c>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row>
    <row r="45" spans="1:46" s="32" customFormat="1">
      <c r="A45" s="38" t="s">
        <v>389</v>
      </c>
      <c r="B45" s="38" t="s">
        <v>211</v>
      </c>
      <c r="C45" s="38" t="s">
        <v>24</v>
      </c>
      <c r="D45" s="38" t="s">
        <v>212</v>
      </c>
      <c r="E45" s="37" t="s">
        <v>18</v>
      </c>
      <c r="F45" s="38" t="s">
        <v>33</v>
      </c>
      <c r="G45" s="38" t="s">
        <v>387</v>
      </c>
      <c r="H45" s="47">
        <v>46108</v>
      </c>
      <c r="I45" s="47">
        <v>46108</v>
      </c>
      <c r="J45" s="40"/>
      <c r="K45" s="48"/>
      <c r="L45" s="37" t="s">
        <v>25</v>
      </c>
    </row>
    <row r="46" spans="1:46" s="34" customFormat="1">
      <c r="A46" s="38" t="s">
        <v>296</v>
      </c>
      <c r="B46" s="38" t="s">
        <v>211</v>
      </c>
      <c r="C46" s="38"/>
      <c r="D46" s="51"/>
      <c r="E46" s="37" t="s">
        <v>18</v>
      </c>
      <c r="F46" s="37" t="s">
        <v>297</v>
      </c>
      <c r="G46" s="37" t="s">
        <v>298</v>
      </c>
      <c r="H46" s="39">
        <v>46085</v>
      </c>
      <c r="I46" s="39">
        <v>46085</v>
      </c>
      <c r="J46" s="51"/>
      <c r="K46" s="48"/>
      <c r="L46" s="37" t="s">
        <v>25</v>
      </c>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row>
    <row r="47" spans="1:46" s="32" customFormat="1" ht="26">
      <c r="A47" s="38" t="s">
        <v>222</v>
      </c>
      <c r="B47" s="38" t="s">
        <v>211</v>
      </c>
      <c r="C47" s="38" t="s">
        <v>220</v>
      </c>
      <c r="D47" s="54" t="s">
        <v>212</v>
      </c>
      <c r="E47" s="37" t="s">
        <v>18</v>
      </c>
      <c r="F47" s="38" t="s">
        <v>33</v>
      </c>
      <c r="G47" s="37" t="s">
        <v>217</v>
      </c>
      <c r="H47" s="39">
        <v>46043</v>
      </c>
      <c r="I47" s="39">
        <v>46049</v>
      </c>
      <c r="J47" s="60" t="s">
        <v>278</v>
      </c>
      <c r="K47" s="61"/>
      <c r="L47" s="37" t="s">
        <v>25</v>
      </c>
    </row>
    <row r="48" spans="1:46" ht="26">
      <c r="A48" s="38" t="s">
        <v>257</v>
      </c>
      <c r="B48" s="38" t="s">
        <v>211</v>
      </c>
      <c r="C48" s="38" t="s">
        <v>220</v>
      </c>
      <c r="D48" s="37" t="s">
        <v>111</v>
      </c>
      <c r="E48" s="38" t="s">
        <v>18</v>
      </c>
      <c r="F48" s="37" t="s">
        <v>269</v>
      </c>
      <c r="G48" s="37" t="s">
        <v>282</v>
      </c>
      <c r="H48" s="39">
        <v>46077</v>
      </c>
      <c r="I48" s="39">
        <v>46081</v>
      </c>
      <c r="J48" s="55" t="s">
        <v>263</v>
      </c>
      <c r="K48" s="48"/>
      <c r="L48" s="37" t="s">
        <v>25</v>
      </c>
    </row>
    <row r="49" spans="1:12">
      <c r="A49" s="65" t="s">
        <v>230</v>
      </c>
      <c r="B49" s="65" t="s">
        <v>211</v>
      </c>
      <c r="C49" s="65" t="s">
        <v>227</v>
      </c>
      <c r="D49" s="64" t="s">
        <v>111</v>
      </c>
      <c r="E49" s="65" t="s">
        <v>18</v>
      </c>
      <c r="F49" s="65"/>
      <c r="G49" s="65"/>
      <c r="H49" s="65"/>
      <c r="I49" s="65"/>
      <c r="J49" s="72" t="s">
        <v>238</v>
      </c>
      <c r="K49" s="65"/>
      <c r="L49" s="65"/>
    </row>
    <row r="50" spans="1:12" ht="26">
      <c r="A50" s="65" t="s">
        <v>234</v>
      </c>
      <c r="B50" s="65" t="s">
        <v>211</v>
      </c>
      <c r="C50" s="65" t="s">
        <v>220</v>
      </c>
      <c r="D50" s="64" t="s">
        <v>111</v>
      </c>
      <c r="E50" s="65" t="s">
        <v>18</v>
      </c>
      <c r="F50" s="65"/>
      <c r="G50" s="65"/>
      <c r="H50" s="65"/>
      <c r="I50" s="65"/>
      <c r="J50" s="66" t="s">
        <v>240</v>
      </c>
      <c r="K50" s="65"/>
      <c r="L50" s="65"/>
    </row>
    <row r="51" spans="1:12">
      <c r="A51" s="65" t="s">
        <v>249</v>
      </c>
      <c r="B51" s="65" t="s">
        <v>211</v>
      </c>
      <c r="C51" s="65" t="s">
        <v>220</v>
      </c>
      <c r="D51" s="65" t="s">
        <v>19</v>
      </c>
      <c r="E51" s="65" t="s">
        <v>18</v>
      </c>
      <c r="F51" s="65"/>
      <c r="G51" s="65"/>
      <c r="H51" s="70"/>
      <c r="I51" s="70"/>
      <c r="J51" s="73" t="s">
        <v>275</v>
      </c>
      <c r="K51" s="65"/>
      <c r="L51" s="67"/>
    </row>
    <row r="52" spans="1:12">
      <c r="A52" s="38" t="s">
        <v>231</v>
      </c>
      <c r="B52" s="38" t="s">
        <v>211</v>
      </c>
      <c r="C52" s="38" t="s">
        <v>220</v>
      </c>
      <c r="D52" s="54" t="s">
        <v>111</v>
      </c>
      <c r="E52" s="37" t="s">
        <v>18</v>
      </c>
      <c r="F52" s="37" t="s">
        <v>268</v>
      </c>
      <c r="G52" s="37" t="s">
        <v>282</v>
      </c>
      <c r="H52" s="39">
        <v>46077</v>
      </c>
      <c r="I52" s="39">
        <v>46081</v>
      </c>
      <c r="J52" s="58" t="s">
        <v>283</v>
      </c>
      <c r="K52" s="48"/>
      <c r="L52" s="37" t="s">
        <v>25</v>
      </c>
    </row>
    <row r="53" spans="1:12" ht="26">
      <c r="A53" s="38" t="s">
        <v>232</v>
      </c>
      <c r="B53" s="38" t="s">
        <v>211</v>
      </c>
      <c r="C53" s="38" t="s">
        <v>227</v>
      </c>
      <c r="D53" s="54" t="s">
        <v>239</v>
      </c>
      <c r="E53" s="37" t="s">
        <v>18</v>
      </c>
      <c r="F53" s="37" t="s">
        <v>269</v>
      </c>
      <c r="G53" s="37" t="s">
        <v>245</v>
      </c>
      <c r="H53" s="39">
        <v>46070</v>
      </c>
      <c r="I53" s="39">
        <v>46072</v>
      </c>
      <c r="J53" s="48" t="s">
        <v>267</v>
      </c>
      <c r="K53" s="48"/>
      <c r="L53" s="37" t="s">
        <v>25</v>
      </c>
    </row>
    <row r="54" spans="1:12">
      <c r="A54" s="38" t="s">
        <v>329</v>
      </c>
      <c r="B54" s="38" t="s">
        <v>211</v>
      </c>
      <c r="C54" s="38" t="s">
        <v>227</v>
      </c>
      <c r="D54" s="54" t="s">
        <v>239</v>
      </c>
      <c r="E54" s="37" t="s">
        <v>18</v>
      </c>
      <c r="F54" s="37" t="s">
        <v>53</v>
      </c>
      <c r="G54" s="37" t="s">
        <v>320</v>
      </c>
      <c r="H54" s="39">
        <v>46097</v>
      </c>
      <c r="I54" s="39">
        <v>46097</v>
      </c>
      <c r="J54" s="37"/>
      <c r="K54" s="48"/>
      <c r="L54" s="37" t="s">
        <v>25</v>
      </c>
    </row>
    <row r="55" spans="1:12" ht="26">
      <c r="A55" s="38" t="s">
        <v>233</v>
      </c>
      <c r="B55" s="38" t="s">
        <v>211</v>
      </c>
      <c r="C55" s="38" t="s">
        <v>227</v>
      </c>
      <c r="D55" s="49" t="s">
        <v>239</v>
      </c>
      <c r="E55" s="37" t="s">
        <v>18</v>
      </c>
      <c r="F55" s="37" t="s">
        <v>268</v>
      </c>
      <c r="G55" s="38" t="s">
        <v>250</v>
      </c>
      <c r="H55" s="42">
        <v>46060</v>
      </c>
      <c r="I55" s="42">
        <v>46062</v>
      </c>
      <c r="J55" s="40" t="s">
        <v>281</v>
      </c>
      <c r="K55" s="50"/>
      <c r="L55" s="37" t="s">
        <v>25</v>
      </c>
    </row>
    <row r="56" spans="1:12">
      <c r="A56" s="38" t="s">
        <v>248</v>
      </c>
      <c r="B56" s="38" t="s">
        <v>211</v>
      </c>
      <c r="C56" s="38" t="s">
        <v>227</v>
      </c>
      <c r="D56" s="38" t="s">
        <v>111</v>
      </c>
      <c r="E56" s="38" t="s">
        <v>18</v>
      </c>
      <c r="F56" s="37" t="s">
        <v>268</v>
      </c>
      <c r="G56" s="38" t="s">
        <v>250</v>
      </c>
      <c r="H56" s="42">
        <v>46067</v>
      </c>
      <c r="I56" s="42">
        <v>46072</v>
      </c>
      <c r="J56" s="40"/>
      <c r="K56" s="50"/>
      <c r="L56" s="37" t="s">
        <v>25</v>
      </c>
    </row>
    <row r="57" spans="1:12">
      <c r="A57" s="38" t="s">
        <v>395</v>
      </c>
      <c r="B57" s="37" t="s">
        <v>211</v>
      </c>
      <c r="C57" s="37" t="s">
        <v>24</v>
      </c>
      <c r="D57" s="37"/>
      <c r="E57" s="37" t="s">
        <v>18</v>
      </c>
      <c r="F57" s="37" t="s">
        <v>33</v>
      </c>
      <c r="G57" s="37" t="s">
        <v>392</v>
      </c>
      <c r="H57" s="39">
        <v>46112</v>
      </c>
      <c r="I57" s="39">
        <v>46112</v>
      </c>
      <c r="J57" s="37"/>
      <c r="K57" s="37"/>
      <c r="L57" s="37" t="s">
        <v>25</v>
      </c>
    </row>
    <row r="58" spans="1:12" ht="65">
      <c r="A58" s="38" t="s">
        <v>235</v>
      </c>
      <c r="B58" s="38" t="s">
        <v>211</v>
      </c>
      <c r="C58" s="38" t="s">
        <v>227</v>
      </c>
      <c r="D58" s="54" t="s">
        <v>212</v>
      </c>
      <c r="E58" s="37" t="s">
        <v>18</v>
      </c>
      <c r="F58" s="37" t="s">
        <v>268</v>
      </c>
      <c r="G58" s="37" t="s">
        <v>224</v>
      </c>
      <c r="H58" s="39">
        <v>46052</v>
      </c>
      <c r="I58" s="39">
        <v>46056</v>
      </c>
      <c r="J58" s="51" t="s">
        <v>243</v>
      </c>
      <c r="K58" s="62"/>
      <c r="L58" s="37" t="s">
        <v>25</v>
      </c>
    </row>
    <row r="59" spans="1:12">
      <c r="A59" s="38" t="s">
        <v>273</v>
      </c>
      <c r="B59" s="38" t="s">
        <v>211</v>
      </c>
      <c r="C59" s="38" t="s">
        <v>227</v>
      </c>
      <c r="D59" s="37" t="s">
        <v>19</v>
      </c>
      <c r="E59" s="38" t="s">
        <v>18</v>
      </c>
      <c r="F59" s="37" t="s">
        <v>33</v>
      </c>
      <c r="G59" s="37" t="s">
        <v>282</v>
      </c>
      <c r="H59" s="39">
        <v>46076</v>
      </c>
      <c r="I59" s="39">
        <v>46078</v>
      </c>
      <c r="J59" s="56"/>
      <c r="K59" s="50"/>
      <c r="L59" s="37" t="s">
        <v>25</v>
      </c>
    </row>
    <row r="60" spans="1:12" ht="13">
      <c r="A60" s="38" t="s">
        <v>226</v>
      </c>
      <c r="B60" s="38" t="s">
        <v>211</v>
      </c>
      <c r="C60" s="38" t="s">
        <v>227</v>
      </c>
      <c r="D60" s="54" t="s">
        <v>212</v>
      </c>
      <c r="E60" s="37" t="s">
        <v>18</v>
      </c>
      <c r="F60" s="40" t="s">
        <v>33</v>
      </c>
      <c r="G60" s="37" t="s">
        <v>224</v>
      </c>
      <c r="H60" s="39">
        <v>46052</v>
      </c>
      <c r="I60" s="39">
        <v>46063</v>
      </c>
      <c r="J60" s="37"/>
      <c r="K60" s="57"/>
      <c r="L60" s="37" t="s">
        <v>25</v>
      </c>
    </row>
    <row r="61" spans="1:12">
      <c r="A61" s="38" t="s">
        <v>331</v>
      </c>
      <c r="B61" s="38" t="s">
        <v>211</v>
      </c>
      <c r="C61" s="38" t="s">
        <v>227</v>
      </c>
      <c r="D61" s="54" t="s">
        <v>212</v>
      </c>
      <c r="E61" s="37" t="s">
        <v>18</v>
      </c>
      <c r="F61" s="37" t="s">
        <v>53</v>
      </c>
      <c r="G61" s="37" t="s">
        <v>356</v>
      </c>
      <c r="H61" s="39">
        <v>46098</v>
      </c>
      <c r="I61" s="39">
        <v>46098</v>
      </c>
      <c r="J61" s="37"/>
      <c r="K61" s="48"/>
      <c r="L61" s="37" t="s">
        <v>25</v>
      </c>
    </row>
    <row r="62" spans="1:12" ht="52">
      <c r="A62" s="38" t="s">
        <v>219</v>
      </c>
      <c r="B62" s="38" t="s">
        <v>211</v>
      </c>
      <c r="C62" s="38" t="s">
        <v>220</v>
      </c>
      <c r="D62" s="54" t="s">
        <v>212</v>
      </c>
      <c r="E62" s="37" t="s">
        <v>18</v>
      </c>
      <c r="F62" s="37" t="s">
        <v>268</v>
      </c>
      <c r="G62" s="37" t="s">
        <v>298</v>
      </c>
      <c r="H62" s="39">
        <v>46088</v>
      </c>
      <c r="I62" s="39">
        <v>46091</v>
      </c>
      <c r="J62" s="51" t="s">
        <v>236</v>
      </c>
      <c r="K62" s="48"/>
      <c r="L62" s="37" t="s">
        <v>25</v>
      </c>
    </row>
    <row r="63" spans="1:12" ht="13">
      <c r="A63" s="38" t="s">
        <v>218</v>
      </c>
      <c r="B63" s="38" t="s">
        <v>211</v>
      </c>
      <c r="C63" s="38" t="s">
        <v>227</v>
      </c>
      <c r="D63" s="54" t="s">
        <v>19</v>
      </c>
      <c r="E63" s="37" t="s">
        <v>18</v>
      </c>
      <c r="F63" s="37" t="s">
        <v>53</v>
      </c>
      <c r="G63" s="37" t="s">
        <v>217</v>
      </c>
      <c r="H63" s="39">
        <v>46042</v>
      </c>
      <c r="I63" s="39">
        <v>46044</v>
      </c>
      <c r="J63" s="48" t="s">
        <v>280</v>
      </c>
      <c r="K63" s="63"/>
      <c r="L63" s="37" t="s">
        <v>25</v>
      </c>
    </row>
    <row r="64" spans="1:12">
      <c r="A64" s="38" t="s">
        <v>247</v>
      </c>
      <c r="B64" s="38" t="s">
        <v>211</v>
      </c>
      <c r="C64" s="38" t="s">
        <v>220</v>
      </c>
      <c r="D64" s="54" t="s">
        <v>239</v>
      </c>
      <c r="E64" s="37" t="s">
        <v>18</v>
      </c>
      <c r="F64" s="37" t="s">
        <v>268</v>
      </c>
      <c r="G64" s="37" t="s">
        <v>250</v>
      </c>
      <c r="H64" s="39">
        <v>46065</v>
      </c>
      <c r="I64" s="39">
        <v>46067</v>
      </c>
      <c r="J64" s="37"/>
      <c r="K64" s="50"/>
      <c r="L64" s="37" t="s">
        <v>25</v>
      </c>
    </row>
    <row r="65" spans="1:12">
      <c r="A65" s="38" t="s">
        <v>330</v>
      </c>
      <c r="B65" s="38" t="s">
        <v>211</v>
      </c>
      <c r="C65" s="38"/>
      <c r="D65" s="37"/>
      <c r="E65" s="37" t="s">
        <v>18</v>
      </c>
      <c r="F65" s="37" t="s">
        <v>53</v>
      </c>
      <c r="G65" s="37" t="s">
        <v>320</v>
      </c>
      <c r="H65" s="39">
        <v>46095</v>
      </c>
      <c r="I65" s="39">
        <v>46095</v>
      </c>
      <c r="J65" s="37"/>
      <c r="K65" s="48"/>
      <c r="L65" s="37" t="s">
        <v>25</v>
      </c>
    </row>
    <row r="66" spans="1:12" ht="52">
      <c r="A66" s="38" t="s">
        <v>225</v>
      </c>
      <c r="B66" s="38" t="s">
        <v>211</v>
      </c>
      <c r="C66" s="38" t="s">
        <v>227</v>
      </c>
      <c r="D66" s="54" t="s">
        <v>212</v>
      </c>
      <c r="E66" s="37" t="s">
        <v>18</v>
      </c>
      <c r="F66" s="38" t="s">
        <v>33</v>
      </c>
      <c r="G66" s="37" t="s">
        <v>224</v>
      </c>
      <c r="H66" s="39">
        <v>46051</v>
      </c>
      <c r="I66" s="39">
        <v>46051</v>
      </c>
      <c r="J66" s="48" t="s">
        <v>244</v>
      </c>
      <c r="K66" s="58"/>
      <c r="L66" s="37" t="s">
        <v>25</v>
      </c>
    </row>
    <row r="67" spans="1:12" ht="26">
      <c r="A67" s="38" t="s">
        <v>237</v>
      </c>
      <c r="B67" s="38" t="s">
        <v>211</v>
      </c>
      <c r="C67" s="38" t="s">
        <v>227</v>
      </c>
      <c r="D67" s="54" t="s">
        <v>239</v>
      </c>
      <c r="E67" s="37" t="s">
        <v>18</v>
      </c>
      <c r="F67" s="38" t="s">
        <v>33</v>
      </c>
      <c r="G67" s="37" t="s">
        <v>245</v>
      </c>
      <c r="H67" s="39">
        <v>46057</v>
      </c>
      <c r="I67" s="39">
        <v>46059</v>
      </c>
      <c r="J67" s="48" t="s">
        <v>251</v>
      </c>
      <c r="K67" s="59"/>
      <c r="L67" s="37" t="s">
        <v>25</v>
      </c>
    </row>
    <row r="68" spans="1:12" ht="26">
      <c r="A68" s="38" t="s">
        <v>223</v>
      </c>
      <c r="B68" s="38" t="s">
        <v>211</v>
      </c>
      <c r="C68" s="38" t="s">
        <v>220</v>
      </c>
      <c r="D68" s="54" t="s">
        <v>212</v>
      </c>
      <c r="E68" s="37" t="s">
        <v>18</v>
      </c>
      <c r="F68" s="37" t="s">
        <v>268</v>
      </c>
      <c r="G68" s="37" t="s">
        <v>224</v>
      </c>
      <c r="H68" s="39">
        <v>46048</v>
      </c>
      <c r="I68" s="39">
        <v>46051</v>
      </c>
      <c r="J68" s="48" t="s">
        <v>242</v>
      </c>
      <c r="K68" s="50"/>
      <c r="L68" s="37" t="s">
        <v>25</v>
      </c>
    </row>
    <row r="69" spans="1:12">
      <c r="A69" s="38" t="s">
        <v>353</v>
      </c>
      <c r="B69" s="37" t="s">
        <v>264</v>
      </c>
      <c r="C69" s="37" t="s">
        <v>24</v>
      </c>
      <c r="D69" s="37" t="s">
        <v>141</v>
      </c>
      <c r="E69" s="37" t="s">
        <v>18</v>
      </c>
      <c r="F69" s="37" t="s">
        <v>268</v>
      </c>
      <c r="G69" s="37" t="s">
        <v>392</v>
      </c>
      <c r="H69" s="39">
        <v>46112</v>
      </c>
      <c r="I69" s="39">
        <v>46114</v>
      </c>
      <c r="J69" s="37"/>
      <c r="K69" s="37" t="s">
        <v>391</v>
      </c>
      <c r="L69" s="37"/>
    </row>
    <row r="70" spans="1:12">
      <c r="A70" s="38" t="s">
        <v>390</v>
      </c>
      <c r="B70" s="38" t="s">
        <v>211</v>
      </c>
      <c r="C70" s="38" t="s">
        <v>24</v>
      </c>
      <c r="D70" s="54" t="s">
        <v>141</v>
      </c>
      <c r="E70" s="37" t="s">
        <v>18</v>
      </c>
      <c r="F70" s="37" t="s">
        <v>357</v>
      </c>
      <c r="G70" s="37" t="s">
        <v>387</v>
      </c>
      <c r="H70" s="39">
        <v>46109</v>
      </c>
      <c r="I70" s="39">
        <v>46109</v>
      </c>
      <c r="J70" s="48"/>
      <c r="K70" s="50"/>
      <c r="L70" s="37" t="s">
        <v>25</v>
      </c>
    </row>
    <row r="71" spans="1:12" ht="13">
      <c r="A71" s="38" t="s">
        <v>258</v>
      </c>
      <c r="B71" s="37" t="s">
        <v>264</v>
      </c>
      <c r="C71" s="37" t="s">
        <v>265</v>
      </c>
      <c r="D71" s="37" t="s">
        <v>141</v>
      </c>
      <c r="E71" s="38" t="s">
        <v>18</v>
      </c>
      <c r="F71" s="37" t="s">
        <v>268</v>
      </c>
      <c r="G71" s="40" t="s">
        <v>387</v>
      </c>
      <c r="H71" s="39">
        <v>46110</v>
      </c>
      <c r="I71" s="39">
        <v>46110</v>
      </c>
      <c r="J71" s="37"/>
      <c r="K71" s="37"/>
      <c r="L71" s="37" t="s">
        <v>25</v>
      </c>
    </row>
    <row r="72" spans="1:12" ht="13">
      <c r="A72" s="65" t="s">
        <v>260</v>
      </c>
      <c r="B72" s="65" t="s">
        <v>261</v>
      </c>
      <c r="C72" s="65" t="s">
        <v>24</v>
      </c>
      <c r="D72" s="65" t="s">
        <v>111</v>
      </c>
      <c r="E72" s="65" t="s">
        <v>18</v>
      </c>
      <c r="F72" s="67"/>
      <c r="G72" s="65"/>
      <c r="H72" s="68"/>
      <c r="I72" s="65"/>
      <c r="J72" s="69" t="s">
        <v>277</v>
      </c>
      <c r="K72" s="37" t="s">
        <v>276</v>
      </c>
      <c r="L72" s="67"/>
    </row>
    <row r="73" spans="1:12">
      <c r="A73" s="65" t="s">
        <v>262</v>
      </c>
      <c r="B73" s="65" t="s">
        <v>261</v>
      </c>
      <c r="C73" s="65" t="s">
        <v>24</v>
      </c>
      <c r="D73" s="65" t="s">
        <v>111</v>
      </c>
      <c r="E73" s="65" t="s">
        <v>18</v>
      </c>
      <c r="F73" s="65"/>
      <c r="G73" s="65"/>
      <c r="H73" s="65"/>
      <c r="I73" s="65"/>
      <c r="J73" s="71" t="s">
        <v>277</v>
      </c>
      <c r="K73" s="37" t="s">
        <v>276</v>
      </c>
      <c r="L73" s="67"/>
    </row>
    <row r="74" spans="1:12">
      <c r="A74" s="38" t="s">
        <v>394</v>
      </c>
      <c r="B74" s="37" t="s">
        <v>211</v>
      </c>
      <c r="C74" s="37" t="s">
        <v>24</v>
      </c>
      <c r="D74" s="37"/>
      <c r="E74" s="37" t="s">
        <v>18</v>
      </c>
      <c r="F74" s="37" t="s">
        <v>33</v>
      </c>
      <c r="G74" s="37" t="s">
        <v>392</v>
      </c>
      <c r="H74" s="39">
        <v>46115</v>
      </c>
      <c r="I74" s="39">
        <v>46115</v>
      </c>
      <c r="J74" s="37"/>
      <c r="K74" s="37"/>
      <c r="L74" s="37" t="s">
        <v>25</v>
      </c>
    </row>
    <row r="75" spans="1:12">
      <c r="A75" s="38" t="s">
        <v>259</v>
      </c>
      <c r="B75" s="38" t="s">
        <v>264</v>
      </c>
      <c r="C75" s="38" t="s">
        <v>24</v>
      </c>
      <c r="D75" s="54" t="s">
        <v>141</v>
      </c>
      <c r="E75" s="37" t="s">
        <v>18</v>
      </c>
      <c r="F75" s="37" t="s">
        <v>268</v>
      </c>
      <c r="G75" s="37" t="s">
        <v>392</v>
      </c>
      <c r="H75" s="39">
        <v>46111</v>
      </c>
      <c r="I75" s="39">
        <v>46111</v>
      </c>
      <c r="J75" s="48"/>
      <c r="K75" s="50"/>
      <c r="L75" s="37" t="s">
        <v>25</v>
      </c>
    </row>
    <row r="76" spans="1:12" ht="13">
      <c r="A76" s="43" t="s">
        <v>380</v>
      </c>
      <c r="F76" s="38"/>
      <c r="H76" s="39">
        <v>46104</v>
      </c>
      <c r="I76" s="39">
        <v>46104</v>
      </c>
    </row>
    <row r="77" spans="1:12" ht="13">
      <c r="A77" s="43" t="s">
        <v>381</v>
      </c>
      <c r="F77" s="37" t="s">
        <v>317</v>
      </c>
      <c r="H77" s="39">
        <v>46099</v>
      </c>
      <c r="I77" s="39">
        <v>46099</v>
      </c>
    </row>
    <row r="78" spans="1:12" ht="13">
      <c r="A78" s="43" t="s">
        <v>382</v>
      </c>
      <c r="F78" s="37"/>
      <c r="H78" s="39">
        <v>46104</v>
      </c>
      <c r="I78" s="39">
        <v>46104</v>
      </c>
    </row>
    <row r="79" spans="1:12" ht="13">
      <c r="A79" s="43" t="s">
        <v>364</v>
      </c>
      <c r="F79" s="37" t="s">
        <v>317</v>
      </c>
      <c r="H79" s="39">
        <v>46099</v>
      </c>
      <c r="I79" s="39">
        <v>46099</v>
      </c>
    </row>
    <row r="80" spans="1:12" ht="13">
      <c r="A80" s="43" t="s">
        <v>365</v>
      </c>
      <c r="F80" s="37" t="s">
        <v>317</v>
      </c>
      <c r="H80" s="39">
        <v>46099</v>
      </c>
      <c r="I80" s="39">
        <v>46099</v>
      </c>
    </row>
    <row r="81" spans="1:9" ht="13">
      <c r="A81" s="43" t="s">
        <v>366</v>
      </c>
      <c r="F81" s="37"/>
      <c r="H81" s="39"/>
      <c r="I81" s="39"/>
    </row>
    <row r="82" spans="1:9" ht="13">
      <c r="A82" s="43" t="s">
        <v>367</v>
      </c>
      <c r="F82" s="37"/>
      <c r="H82" s="39">
        <v>46098</v>
      </c>
      <c r="I82" s="39">
        <v>46098</v>
      </c>
    </row>
    <row r="83" spans="1:9" ht="13">
      <c r="A83" s="43" t="s">
        <v>368</v>
      </c>
      <c r="F83" s="37" t="s">
        <v>317</v>
      </c>
      <c r="H83" s="39">
        <v>46099</v>
      </c>
      <c r="I83" s="39">
        <v>46099</v>
      </c>
    </row>
    <row r="84" spans="1:9" ht="13">
      <c r="A84" s="43" t="s">
        <v>369</v>
      </c>
      <c r="F84" s="37" t="s">
        <v>317</v>
      </c>
      <c r="H84" s="39">
        <v>46099</v>
      </c>
      <c r="I84" s="39">
        <v>46099</v>
      </c>
    </row>
    <row r="85" spans="1:9" ht="13">
      <c r="A85" s="43" t="s">
        <v>370</v>
      </c>
      <c r="F85" s="38"/>
      <c r="H85" s="39">
        <v>46098</v>
      </c>
      <c r="I85" s="39">
        <v>46098</v>
      </c>
    </row>
    <row r="86" spans="1:9" ht="13">
      <c r="A86" s="43" t="s">
        <v>371</v>
      </c>
      <c r="F86" s="38" t="s">
        <v>357</v>
      </c>
      <c r="H86" s="39">
        <v>46098</v>
      </c>
      <c r="I86" s="39">
        <v>46098</v>
      </c>
    </row>
    <row r="87" spans="1:9" ht="13">
      <c r="A87" s="43" t="s">
        <v>372</v>
      </c>
      <c r="F87" s="38" t="s">
        <v>357</v>
      </c>
      <c r="H87" s="39">
        <v>46099</v>
      </c>
      <c r="I87" s="39">
        <v>46099</v>
      </c>
    </row>
    <row r="88" spans="1:9" ht="13">
      <c r="A88" s="43" t="s">
        <v>373</v>
      </c>
      <c r="F88" s="38" t="s">
        <v>357</v>
      </c>
      <c r="H88" s="39">
        <v>46099</v>
      </c>
      <c r="I88" s="39">
        <v>46099</v>
      </c>
    </row>
    <row r="89" spans="1:9" ht="13">
      <c r="A89" s="43" t="s">
        <v>374</v>
      </c>
      <c r="F89" s="38" t="s">
        <v>357</v>
      </c>
      <c r="H89" s="39">
        <v>46098</v>
      </c>
      <c r="I89" s="39">
        <v>46098</v>
      </c>
    </row>
    <row r="90" spans="1:9" ht="13">
      <c r="A90" s="43" t="s">
        <v>375</v>
      </c>
      <c r="F90" s="38" t="s">
        <v>357</v>
      </c>
      <c r="H90" s="39">
        <v>46098</v>
      </c>
      <c r="I90" s="39">
        <v>46098</v>
      </c>
    </row>
    <row r="91" spans="1:9" ht="13">
      <c r="A91" s="43" t="s">
        <v>386</v>
      </c>
      <c r="F91" s="37"/>
      <c r="H91" s="39">
        <v>46104</v>
      </c>
      <c r="I91" s="39">
        <v>46104</v>
      </c>
    </row>
    <row r="92" spans="1:9" ht="13">
      <c r="A92" s="43" t="s">
        <v>376</v>
      </c>
      <c r="F92" s="38" t="s">
        <v>357</v>
      </c>
      <c r="H92" s="39">
        <v>46099</v>
      </c>
      <c r="I92" s="39">
        <v>46099</v>
      </c>
    </row>
    <row r="93" spans="1:9" ht="13">
      <c r="A93" s="43" t="s">
        <v>377</v>
      </c>
      <c r="F93" s="38" t="s">
        <v>357</v>
      </c>
      <c r="H93" s="39">
        <v>46098</v>
      </c>
      <c r="I93" s="39">
        <v>46098</v>
      </c>
    </row>
    <row r="94" spans="1:9" ht="13">
      <c r="A94" s="43" t="s">
        <v>378</v>
      </c>
      <c r="F94" s="37" t="s">
        <v>357</v>
      </c>
      <c r="H94" s="39">
        <v>46098</v>
      </c>
      <c r="I94" s="39">
        <v>46098</v>
      </c>
    </row>
    <row r="95" spans="1:9" ht="13">
      <c r="A95" s="43" t="s">
        <v>379</v>
      </c>
      <c r="F95" s="37" t="s">
        <v>357</v>
      </c>
      <c r="H95" s="39">
        <v>46098</v>
      </c>
      <c r="I95" s="39">
        <v>46098</v>
      </c>
    </row>
    <row r="96" spans="1:9" ht="13">
      <c r="A96" s="43" t="s">
        <v>362</v>
      </c>
      <c r="F96" s="38" t="s">
        <v>357</v>
      </c>
      <c r="H96" s="39">
        <v>46098</v>
      </c>
      <c r="I96" s="39">
        <v>46098</v>
      </c>
    </row>
    <row r="97" spans="1:9" ht="13">
      <c r="A97" s="43" t="s">
        <v>363</v>
      </c>
      <c r="F97" s="37" t="s">
        <v>317</v>
      </c>
      <c r="H97" s="39">
        <v>46098</v>
      </c>
      <c r="I97" s="39">
        <v>46098</v>
      </c>
    </row>
    <row r="98" spans="1:9" ht="13">
      <c r="A98" s="43" t="s">
        <v>358</v>
      </c>
      <c r="F98" s="37" t="s">
        <v>317</v>
      </c>
      <c r="H98" s="39">
        <v>46098</v>
      </c>
      <c r="I98" s="39">
        <v>46098</v>
      </c>
    </row>
    <row r="99" spans="1:9" ht="13">
      <c r="A99" s="43" t="s">
        <v>359</v>
      </c>
      <c r="F99" s="37"/>
      <c r="H99" s="39">
        <v>46104</v>
      </c>
      <c r="I99" s="39">
        <v>46104</v>
      </c>
    </row>
    <row r="100" spans="1:9" ht="13">
      <c r="A100" s="43" t="s">
        <v>360</v>
      </c>
      <c r="F100" s="37"/>
      <c r="H100" s="39">
        <v>46098</v>
      </c>
      <c r="I100" s="39">
        <v>46098</v>
      </c>
    </row>
    <row r="101" spans="1:9" ht="13">
      <c r="A101" s="43" t="s">
        <v>361</v>
      </c>
      <c r="F101" s="37"/>
      <c r="H101" s="39">
        <v>46098</v>
      </c>
      <c r="I101" s="39">
        <v>46098</v>
      </c>
    </row>
    <row r="102" spans="1:9" ht="13">
      <c r="A102" s="43" t="s">
        <v>384</v>
      </c>
      <c r="F102" s="37" t="s">
        <v>33</v>
      </c>
      <c r="H102" s="39">
        <v>46099</v>
      </c>
      <c r="I102" s="39">
        <v>46099</v>
      </c>
    </row>
    <row r="103" spans="1:9" ht="13">
      <c r="A103" s="43" t="s">
        <v>385</v>
      </c>
      <c r="F103" s="37" t="s">
        <v>393</v>
      </c>
      <c r="H103" s="39">
        <v>46103</v>
      </c>
      <c r="I103" s="39">
        <v>46103</v>
      </c>
    </row>
    <row r="104" spans="1:9" ht="13">
      <c r="A104" s="74" t="s">
        <v>321</v>
      </c>
      <c r="F104" s="37"/>
      <c r="H104" s="39">
        <v>46093</v>
      </c>
      <c r="I104" s="39">
        <v>46093</v>
      </c>
    </row>
    <row r="105" spans="1:9" ht="13">
      <c r="A105" s="74" t="s">
        <v>332</v>
      </c>
      <c r="F105" s="37"/>
      <c r="H105" s="39">
        <v>46094</v>
      </c>
      <c r="I105" s="39">
        <v>46094</v>
      </c>
    </row>
    <row r="106" spans="1:9" ht="13">
      <c r="A106" s="74" t="s">
        <v>333</v>
      </c>
      <c r="F106" s="37"/>
      <c r="H106" s="39">
        <v>46094</v>
      </c>
      <c r="I106" s="39">
        <v>46094</v>
      </c>
    </row>
    <row r="107" spans="1:9" ht="13">
      <c r="A107" s="74" t="s">
        <v>322</v>
      </c>
      <c r="F107" s="37"/>
      <c r="H107" s="39">
        <v>46093</v>
      </c>
      <c r="I107" s="39">
        <v>46093</v>
      </c>
    </row>
    <row r="108" spans="1:9" ht="13">
      <c r="A108" s="74" t="s">
        <v>334</v>
      </c>
      <c r="F108" s="37"/>
      <c r="H108" s="39">
        <v>46094</v>
      </c>
      <c r="I108" s="39">
        <v>46094</v>
      </c>
    </row>
    <row r="109" spans="1:9" ht="13">
      <c r="A109" s="74" t="s">
        <v>323</v>
      </c>
      <c r="F109" s="37"/>
      <c r="H109" s="39">
        <v>46093</v>
      </c>
      <c r="I109" s="39">
        <v>46093</v>
      </c>
    </row>
    <row r="110" spans="1:9" ht="13">
      <c r="A110" s="74" t="s">
        <v>335</v>
      </c>
      <c r="F110" s="37"/>
      <c r="H110" s="39">
        <v>46094</v>
      </c>
      <c r="I110" s="39">
        <v>46094</v>
      </c>
    </row>
    <row r="111" spans="1:9" ht="13">
      <c r="A111" s="74" t="s">
        <v>336</v>
      </c>
      <c r="F111" s="37"/>
      <c r="H111" s="39">
        <v>46095</v>
      </c>
      <c r="I111" s="39">
        <v>46095</v>
      </c>
    </row>
    <row r="112" spans="1:9" ht="13">
      <c r="A112" s="74" t="s">
        <v>324</v>
      </c>
      <c r="F112" s="37"/>
      <c r="H112" s="39">
        <v>46093</v>
      </c>
      <c r="I112" s="39">
        <v>46093</v>
      </c>
    </row>
    <row r="113" spans="1:9" ht="13">
      <c r="A113" s="43" t="s">
        <v>337</v>
      </c>
      <c r="F113" s="37"/>
      <c r="H113" s="39">
        <v>46104</v>
      </c>
      <c r="I113" s="39">
        <v>46104</v>
      </c>
    </row>
    <row r="114" spans="1:9" ht="13">
      <c r="A114" s="43" t="s">
        <v>338</v>
      </c>
      <c r="F114" s="37"/>
      <c r="H114" s="39">
        <v>46099</v>
      </c>
      <c r="I114" s="39">
        <v>46099</v>
      </c>
    </row>
    <row r="115" spans="1:9" ht="13">
      <c r="A115" s="43" t="s">
        <v>339</v>
      </c>
      <c r="F115" s="37" t="s">
        <v>317</v>
      </c>
      <c r="H115" s="39">
        <v>46099</v>
      </c>
      <c r="I115" s="39">
        <v>46099</v>
      </c>
    </row>
    <row r="116" spans="1:9" ht="13">
      <c r="A116" s="43" t="s">
        <v>340</v>
      </c>
      <c r="F116" s="37"/>
      <c r="H116" s="39">
        <v>46099</v>
      </c>
      <c r="I116" s="39">
        <v>46099</v>
      </c>
    </row>
    <row r="117" spans="1:9" ht="13">
      <c r="A117" s="74" t="s">
        <v>299</v>
      </c>
      <c r="F117" s="37" t="s">
        <v>317</v>
      </c>
      <c r="H117" s="39">
        <v>46084</v>
      </c>
      <c r="I117" s="39">
        <v>46084</v>
      </c>
    </row>
    <row r="118" spans="1:9" ht="13">
      <c r="A118" s="74" t="s">
        <v>300</v>
      </c>
      <c r="F118" s="37"/>
      <c r="H118" s="39">
        <v>46088</v>
      </c>
      <c r="I118" s="39">
        <v>46088</v>
      </c>
    </row>
    <row r="119" spans="1:9" ht="13">
      <c r="A119" s="74" t="s">
        <v>301</v>
      </c>
      <c r="F119" s="37"/>
      <c r="H119" s="39">
        <v>46088</v>
      </c>
      <c r="I119" s="39">
        <v>46088</v>
      </c>
    </row>
    <row r="120" spans="1:9" ht="13">
      <c r="A120" s="76" t="s">
        <v>302</v>
      </c>
      <c r="F120" s="65"/>
      <c r="H120" s="65"/>
      <c r="I120" s="65"/>
    </row>
    <row r="121" spans="1:9" ht="13">
      <c r="A121" s="74" t="s">
        <v>303</v>
      </c>
      <c r="F121" s="37"/>
      <c r="H121" s="39">
        <v>46090</v>
      </c>
      <c r="I121" s="39">
        <v>46090</v>
      </c>
    </row>
    <row r="122" spans="1:9" ht="13">
      <c r="A122" s="74" t="s">
        <v>304</v>
      </c>
      <c r="F122" s="37" t="s">
        <v>317</v>
      </c>
      <c r="H122" s="39">
        <v>46085</v>
      </c>
      <c r="I122" s="39">
        <v>46085</v>
      </c>
    </row>
    <row r="123" spans="1:9" ht="13">
      <c r="A123" s="43" t="s">
        <v>305</v>
      </c>
      <c r="F123" s="37" t="s">
        <v>317</v>
      </c>
      <c r="H123" s="39">
        <v>46087</v>
      </c>
      <c r="I123" s="39">
        <v>46087</v>
      </c>
    </row>
    <row r="124" spans="1:9" ht="13">
      <c r="A124" s="74" t="s">
        <v>306</v>
      </c>
      <c r="F124" s="37" t="s">
        <v>317</v>
      </c>
      <c r="H124" s="39">
        <v>46086</v>
      </c>
      <c r="I124" s="39">
        <v>46086</v>
      </c>
    </row>
    <row r="125" spans="1:9" ht="13">
      <c r="A125" s="74" t="s">
        <v>307</v>
      </c>
      <c r="F125" s="37" t="s">
        <v>317</v>
      </c>
      <c r="H125" s="39">
        <v>46087</v>
      </c>
      <c r="I125" s="39">
        <v>46087</v>
      </c>
    </row>
    <row r="126" spans="1:9" ht="13">
      <c r="A126" s="43" t="s">
        <v>308</v>
      </c>
      <c r="F126" s="37"/>
      <c r="H126" s="39">
        <v>46088</v>
      </c>
      <c r="I126" s="39">
        <v>46088</v>
      </c>
    </row>
    <row r="127" spans="1:9" ht="13">
      <c r="A127" s="43" t="s">
        <v>309</v>
      </c>
      <c r="F127" s="37"/>
      <c r="H127" s="39">
        <v>46088</v>
      </c>
      <c r="I127" s="39">
        <v>46088</v>
      </c>
    </row>
    <row r="128" spans="1:9" ht="13">
      <c r="A128" s="43" t="s">
        <v>318</v>
      </c>
      <c r="F128" s="37"/>
      <c r="H128" s="39">
        <v>46088</v>
      </c>
      <c r="I128" s="39">
        <v>46088</v>
      </c>
    </row>
    <row r="129" spans="1:9" ht="13">
      <c r="A129" s="43" t="s">
        <v>383</v>
      </c>
      <c r="F129" s="37"/>
      <c r="H129" s="37"/>
      <c r="I129" s="37"/>
    </row>
    <row r="130" spans="1:9" ht="13">
      <c r="A130" s="74" t="s">
        <v>310</v>
      </c>
      <c r="F130" s="37" t="s">
        <v>317</v>
      </c>
      <c r="H130" s="39">
        <v>46085</v>
      </c>
      <c r="I130" s="39">
        <v>46085</v>
      </c>
    </row>
    <row r="131" spans="1:9" ht="13">
      <c r="A131" s="43" t="s">
        <v>311</v>
      </c>
      <c r="F131" s="37" t="s">
        <v>317</v>
      </c>
      <c r="H131" s="39">
        <v>46085</v>
      </c>
      <c r="I131" s="39">
        <v>46085</v>
      </c>
    </row>
    <row r="132" spans="1:9" ht="13">
      <c r="A132" s="74" t="s">
        <v>312</v>
      </c>
      <c r="F132" s="37" t="s">
        <v>317</v>
      </c>
      <c r="H132" s="39">
        <v>46086</v>
      </c>
      <c r="I132" s="39">
        <v>46086</v>
      </c>
    </row>
    <row r="133" spans="1:9" ht="13">
      <c r="A133" s="43" t="s">
        <v>313</v>
      </c>
      <c r="F133" s="37" t="s">
        <v>317</v>
      </c>
      <c r="H133" s="39">
        <v>46086</v>
      </c>
      <c r="I133" s="39">
        <v>46086</v>
      </c>
    </row>
    <row r="134" spans="1:9" ht="13">
      <c r="A134" s="76" t="s">
        <v>314</v>
      </c>
      <c r="F134" s="65"/>
      <c r="H134" s="65"/>
      <c r="I134" s="65"/>
    </row>
    <row r="135" spans="1:9" ht="13">
      <c r="A135" s="74" t="s">
        <v>315</v>
      </c>
      <c r="F135" s="37" t="s">
        <v>317</v>
      </c>
      <c r="H135" s="39">
        <v>46087</v>
      </c>
      <c r="I135" s="39">
        <v>46087</v>
      </c>
    </row>
    <row r="136" spans="1:9" ht="13">
      <c r="A136" s="43" t="s">
        <v>316</v>
      </c>
      <c r="F136" s="37"/>
      <c r="H136" s="39">
        <v>46090</v>
      </c>
      <c r="I136" s="39">
        <v>46090</v>
      </c>
    </row>
    <row r="137" spans="1:9" ht="13">
      <c r="A137" s="44" t="s">
        <v>397</v>
      </c>
    </row>
    <row r="138" spans="1:9" ht="13">
      <c r="A138" s="44" t="s">
        <v>398</v>
      </c>
    </row>
    <row r="139" spans="1:9" ht="13">
      <c r="A139" s="44" t="s">
        <v>399</v>
      </c>
    </row>
    <row r="140" spans="1:9" ht="13">
      <c r="A140" s="44" t="s">
        <v>400</v>
      </c>
    </row>
    <row r="141" spans="1:9" ht="13">
      <c r="A141" s="44" t="s">
        <v>401</v>
      </c>
    </row>
    <row r="142" spans="1:9" ht="13">
      <c r="A142" s="44" t="s">
        <v>402</v>
      </c>
    </row>
    <row r="143" spans="1:9" ht="13">
      <c r="A143" s="44" t="s">
        <v>403</v>
      </c>
    </row>
    <row r="144" spans="1:9" ht="13">
      <c r="A144" s="44" t="s">
        <v>404</v>
      </c>
    </row>
    <row r="145" spans="1:1" ht="13">
      <c r="A145" s="44" t="s">
        <v>405</v>
      </c>
    </row>
    <row r="146" spans="1:1" ht="13">
      <c r="A146" s="44" t="s">
        <v>406</v>
      </c>
    </row>
    <row r="147" spans="1:1" ht="13">
      <c r="A147" s="44" t="s">
        <v>407</v>
      </c>
    </row>
    <row r="148" spans="1:1" ht="13">
      <c r="A148" s="44" t="s">
        <v>408</v>
      </c>
    </row>
    <row r="149" spans="1:1" ht="13">
      <c r="A149" s="44" t="s">
        <v>409</v>
      </c>
    </row>
    <row r="150" spans="1:1" ht="13">
      <c r="A150" s="44" t="s">
        <v>410</v>
      </c>
    </row>
    <row r="151" spans="1:1" ht="13">
      <c r="A151" s="44" t="s">
        <v>411</v>
      </c>
    </row>
    <row r="152" spans="1:1" ht="13">
      <c r="A152" s="44" t="s">
        <v>412</v>
      </c>
    </row>
    <row r="153" spans="1:1" ht="13">
      <c r="A153" s="44" t="s">
        <v>413</v>
      </c>
    </row>
    <row r="154" spans="1:1" ht="13">
      <c r="A154" s="44" t="s">
        <v>414</v>
      </c>
    </row>
    <row r="155" spans="1:1" ht="13">
      <c r="A155" s="44" t="s">
        <v>415</v>
      </c>
    </row>
    <row r="156" spans="1:1" ht="13">
      <c r="A156" s="44" t="s">
        <v>416</v>
      </c>
    </row>
    <row r="157" spans="1:1" ht="13">
      <c r="A157" s="44" t="s">
        <v>417</v>
      </c>
    </row>
    <row r="158" spans="1:1" ht="13">
      <c r="A158" s="44" t="s">
        <v>418</v>
      </c>
    </row>
    <row r="159" spans="1:1" ht="13">
      <c r="A159" s="44" t="s">
        <v>419</v>
      </c>
    </row>
    <row r="160" spans="1:1" ht="13">
      <c r="A160" s="44" t="s">
        <v>420</v>
      </c>
    </row>
    <row r="161" spans="1:1" ht="13">
      <c r="A161" s="44" t="s">
        <v>421</v>
      </c>
    </row>
    <row r="162" spans="1:1" ht="13">
      <c r="A162" s="44" t="s">
        <v>422</v>
      </c>
    </row>
    <row r="163" spans="1:1" ht="13">
      <c r="A163" s="44" t="s">
        <v>423</v>
      </c>
    </row>
    <row r="164" spans="1:1" ht="13">
      <c r="A164" s="44" t="s">
        <v>424</v>
      </c>
    </row>
    <row r="165" spans="1:1" ht="13">
      <c r="A165" s="44" t="s">
        <v>425</v>
      </c>
    </row>
  </sheetData>
  <autoFilter ref="A1:L75" xr:uid="{00000000-0001-0000-01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T46"/>
  <sheetViews>
    <sheetView topLeftCell="B1" zoomScale="85" zoomScaleNormal="85" workbookViewId="0">
      <selection activeCell="J17" sqref="J17"/>
    </sheetView>
  </sheetViews>
  <sheetFormatPr baseColWidth="10" defaultColWidth="8.83203125" defaultRowHeight="16"/>
  <sheetData>
    <row r="1" spans="1:20" ht="101" thickBot="1">
      <c r="A1" s="16" t="s">
        <v>54</v>
      </c>
      <c r="B1" s="17" t="s">
        <v>55</v>
      </c>
      <c r="C1" s="17" t="s">
        <v>56</v>
      </c>
      <c r="D1" s="17" t="s">
        <v>57</v>
      </c>
      <c r="E1" s="17" t="s">
        <v>58</v>
      </c>
      <c r="F1" s="17" t="s">
        <v>11</v>
      </c>
      <c r="G1" s="17" t="s">
        <v>31</v>
      </c>
      <c r="H1" s="18" t="s">
        <v>59</v>
      </c>
      <c r="I1" s="18" t="s">
        <v>60</v>
      </c>
      <c r="J1" s="18" t="s">
        <v>61</v>
      </c>
      <c r="K1" s="18" t="s">
        <v>62</v>
      </c>
      <c r="L1" s="17" t="s">
        <v>63</v>
      </c>
      <c r="M1" s="17" t="s">
        <v>64</v>
      </c>
      <c r="N1" s="17" t="s">
        <v>65</v>
      </c>
      <c r="O1" s="17" t="s">
        <v>66</v>
      </c>
      <c r="P1" s="17" t="s">
        <v>67</v>
      </c>
      <c r="Q1" s="19" t="s">
        <v>68</v>
      </c>
      <c r="R1" s="19" t="s">
        <v>69</v>
      </c>
      <c r="S1" s="19" t="s">
        <v>70</v>
      </c>
      <c r="T1" s="20" t="s">
        <v>71</v>
      </c>
    </row>
    <row r="2" spans="1:20" ht="17" hidden="1" thickBot="1">
      <c r="A2" s="21">
        <v>44</v>
      </c>
      <c r="B2" s="22">
        <v>44</v>
      </c>
      <c r="C2" s="22">
        <v>44</v>
      </c>
      <c r="D2" s="22">
        <v>44</v>
      </c>
      <c r="E2" s="22">
        <v>44</v>
      </c>
      <c r="F2" s="22">
        <v>44</v>
      </c>
      <c r="G2" s="22">
        <v>44</v>
      </c>
      <c r="H2" s="22">
        <v>44</v>
      </c>
      <c r="I2" s="22">
        <v>44</v>
      </c>
      <c r="J2" s="22">
        <v>44</v>
      </c>
      <c r="K2" s="22">
        <v>44</v>
      </c>
      <c r="L2" s="22">
        <v>44</v>
      </c>
      <c r="M2" s="22">
        <v>44</v>
      </c>
      <c r="N2" s="22">
        <v>0</v>
      </c>
      <c r="O2" s="22">
        <v>0</v>
      </c>
      <c r="P2" s="22">
        <v>30</v>
      </c>
      <c r="Q2" s="22">
        <v>14</v>
      </c>
      <c r="R2" s="22">
        <v>14</v>
      </c>
      <c r="S2" s="22">
        <v>14</v>
      </c>
      <c r="T2" s="22">
        <v>44</v>
      </c>
    </row>
    <row r="3" spans="1:20" ht="17" thickBot="1">
      <c r="A3" s="23" t="s">
        <v>72</v>
      </c>
      <c r="B3" s="24" t="s">
        <v>73</v>
      </c>
      <c r="C3" s="25" t="s">
        <v>74</v>
      </c>
      <c r="D3" s="24" t="s">
        <v>75</v>
      </c>
      <c r="E3" s="24" t="s">
        <v>76</v>
      </c>
      <c r="F3" s="24" t="s">
        <v>77</v>
      </c>
      <c r="G3" s="24" t="s">
        <v>78</v>
      </c>
      <c r="H3" s="24" t="s">
        <v>19</v>
      </c>
      <c r="I3" s="24" t="s">
        <v>79</v>
      </c>
      <c r="J3" s="24" t="s">
        <v>80</v>
      </c>
      <c r="K3" s="24" t="s">
        <v>81</v>
      </c>
      <c r="L3" s="24" t="s">
        <v>82</v>
      </c>
      <c r="M3" s="24" t="s">
        <v>83</v>
      </c>
      <c r="N3" s="24"/>
      <c r="O3" s="24"/>
      <c r="P3" s="26">
        <v>45962</v>
      </c>
      <c r="Q3" s="24"/>
      <c r="R3" s="24"/>
      <c r="S3" s="24"/>
      <c r="T3" s="24" t="s">
        <v>84</v>
      </c>
    </row>
    <row r="4" spans="1:20" ht="17" thickBot="1">
      <c r="A4" s="28" t="s">
        <v>85</v>
      </c>
      <c r="B4" s="24" t="s">
        <v>73</v>
      </c>
      <c r="C4" s="25" t="s">
        <v>74</v>
      </c>
      <c r="D4" s="24" t="s">
        <v>75</v>
      </c>
      <c r="E4" s="24" t="s">
        <v>76</v>
      </c>
      <c r="F4" s="24" t="s">
        <v>77</v>
      </c>
      <c r="G4" s="24" t="s">
        <v>86</v>
      </c>
      <c r="H4" s="24" t="s">
        <v>19</v>
      </c>
      <c r="I4" s="24" t="s">
        <v>79</v>
      </c>
      <c r="J4" s="24" t="s">
        <v>80</v>
      </c>
      <c r="K4" s="24" t="s">
        <v>81</v>
      </c>
      <c r="L4" s="24" t="s">
        <v>82</v>
      </c>
      <c r="M4" s="24" t="s">
        <v>83</v>
      </c>
      <c r="N4" s="24"/>
      <c r="O4" s="24" t="s">
        <v>208</v>
      </c>
      <c r="P4" s="26">
        <v>45954</v>
      </c>
      <c r="Q4" s="24"/>
      <c r="R4" s="24"/>
      <c r="S4" s="24"/>
      <c r="T4" s="24" t="s">
        <v>87</v>
      </c>
    </row>
    <row r="5" spans="1:20" ht="17" thickBot="1">
      <c r="A5" s="28" t="s">
        <v>88</v>
      </c>
      <c r="B5" s="24" t="s">
        <v>89</v>
      </c>
      <c r="C5" s="25" t="s">
        <v>74</v>
      </c>
      <c r="D5" s="24" t="s">
        <v>75</v>
      </c>
      <c r="E5" s="24" t="s">
        <v>76</v>
      </c>
      <c r="F5" s="24" t="s">
        <v>90</v>
      </c>
      <c r="G5" s="24" t="s">
        <v>46</v>
      </c>
      <c r="H5" s="24" t="s">
        <v>91</v>
      </c>
      <c r="I5" s="24" t="s">
        <v>92</v>
      </c>
      <c r="J5" s="24" t="s">
        <v>80</v>
      </c>
      <c r="K5" s="24" t="s">
        <v>81</v>
      </c>
      <c r="L5" s="24" t="s">
        <v>82</v>
      </c>
      <c r="M5" s="24" t="s">
        <v>93</v>
      </c>
      <c r="N5" s="24"/>
      <c r="O5" s="24" t="s">
        <v>205</v>
      </c>
      <c r="P5" s="26">
        <v>45966</v>
      </c>
      <c r="Q5" s="24"/>
      <c r="R5" s="24"/>
      <c r="S5" s="24"/>
      <c r="T5" s="24" t="s">
        <v>94</v>
      </c>
    </row>
    <row r="6" spans="1:20" ht="17" thickBot="1">
      <c r="A6" s="31" t="s">
        <v>95</v>
      </c>
      <c r="B6" s="24" t="s">
        <v>89</v>
      </c>
      <c r="C6" s="25" t="s">
        <v>74</v>
      </c>
      <c r="D6" s="24" t="s">
        <v>75</v>
      </c>
      <c r="E6" s="24" t="s">
        <v>76</v>
      </c>
      <c r="F6" s="24" t="s">
        <v>96</v>
      </c>
      <c r="G6" s="24" t="s">
        <v>97</v>
      </c>
      <c r="H6" s="24" t="s">
        <v>91</v>
      </c>
      <c r="I6" s="24" t="s">
        <v>92</v>
      </c>
      <c r="J6" s="24" t="s">
        <v>80</v>
      </c>
      <c r="K6" s="24" t="s">
        <v>98</v>
      </c>
      <c r="L6" s="24" t="s">
        <v>82</v>
      </c>
      <c r="M6" s="24" t="s">
        <v>93</v>
      </c>
      <c r="N6" s="24"/>
      <c r="O6" s="24"/>
      <c r="P6" s="26">
        <v>45983</v>
      </c>
      <c r="Q6" s="24"/>
      <c r="R6" s="24"/>
      <c r="S6" s="24"/>
      <c r="T6" s="24" t="s">
        <v>99</v>
      </c>
    </row>
    <row r="7" spans="1:20" ht="17" thickBot="1">
      <c r="A7" s="27" t="s">
        <v>100</v>
      </c>
      <c r="B7" s="24" t="s">
        <v>89</v>
      </c>
      <c r="C7" s="25" t="s">
        <v>74</v>
      </c>
      <c r="D7" s="24" t="s">
        <v>75</v>
      </c>
      <c r="E7" s="24" t="s">
        <v>76</v>
      </c>
      <c r="F7" s="24" t="s">
        <v>96</v>
      </c>
      <c r="G7" s="24" t="s">
        <v>101</v>
      </c>
      <c r="H7" s="24" t="s">
        <v>19</v>
      </c>
      <c r="I7" s="24" t="s">
        <v>92</v>
      </c>
      <c r="J7" s="24" t="s">
        <v>102</v>
      </c>
      <c r="K7" s="24" t="s">
        <v>103</v>
      </c>
      <c r="L7" s="24" t="s">
        <v>104</v>
      </c>
      <c r="M7" s="24" t="s">
        <v>105</v>
      </c>
      <c r="N7" s="24"/>
      <c r="O7" s="24" t="s">
        <v>190</v>
      </c>
      <c r="P7" s="24"/>
      <c r="Q7" s="24" t="s">
        <v>106</v>
      </c>
      <c r="R7" s="24" t="s">
        <v>107</v>
      </c>
      <c r="S7" s="24" t="s">
        <v>108</v>
      </c>
      <c r="T7" s="24" t="s">
        <v>87</v>
      </c>
    </row>
    <row r="8" spans="1:20" ht="17" thickBot="1">
      <c r="A8" s="23" t="s">
        <v>109</v>
      </c>
      <c r="B8" s="24" t="s">
        <v>89</v>
      </c>
      <c r="C8" s="25" t="s">
        <v>74</v>
      </c>
      <c r="D8" s="24" t="s">
        <v>75</v>
      </c>
      <c r="E8" s="24" t="s">
        <v>76</v>
      </c>
      <c r="F8" s="24" t="s">
        <v>90</v>
      </c>
      <c r="G8" s="24" t="s">
        <v>110</v>
      </c>
      <c r="H8" s="24" t="s">
        <v>91</v>
      </c>
      <c r="I8" s="24" t="s">
        <v>111</v>
      </c>
      <c r="J8" s="24" t="s">
        <v>80</v>
      </c>
      <c r="K8" s="24" t="s">
        <v>81</v>
      </c>
      <c r="L8" s="24" t="s">
        <v>82</v>
      </c>
      <c r="M8" s="24" t="s">
        <v>93</v>
      </c>
      <c r="N8" s="24"/>
      <c r="O8" s="24"/>
      <c r="P8" s="26">
        <v>45954</v>
      </c>
      <c r="Q8" s="24"/>
      <c r="R8" s="24"/>
      <c r="S8" s="24"/>
      <c r="T8" s="24" t="s">
        <v>112</v>
      </c>
    </row>
    <row r="9" spans="1:20" ht="17" thickBot="1">
      <c r="A9" s="28" t="s">
        <v>113</v>
      </c>
      <c r="B9" s="24" t="s">
        <v>89</v>
      </c>
      <c r="C9" s="25" t="s">
        <v>74</v>
      </c>
      <c r="D9" s="24" t="s">
        <v>75</v>
      </c>
      <c r="E9" s="24" t="s">
        <v>76</v>
      </c>
      <c r="F9" s="24" t="s">
        <v>90</v>
      </c>
      <c r="G9" s="24" t="s">
        <v>46</v>
      </c>
      <c r="H9" s="24" t="s">
        <v>19</v>
      </c>
      <c r="I9" s="24" t="s">
        <v>92</v>
      </c>
      <c r="J9" s="24" t="s">
        <v>102</v>
      </c>
      <c r="K9" s="24" t="s">
        <v>103</v>
      </c>
      <c r="L9" s="24" t="s">
        <v>82</v>
      </c>
      <c r="M9" s="24" t="s">
        <v>93</v>
      </c>
      <c r="N9" s="24"/>
      <c r="O9" s="24" t="s">
        <v>206</v>
      </c>
      <c r="P9" s="26">
        <v>45965</v>
      </c>
      <c r="Q9" s="24"/>
      <c r="R9" s="24"/>
      <c r="S9" s="24"/>
      <c r="T9" s="24" t="s">
        <v>87</v>
      </c>
    </row>
    <row r="10" spans="1:20" ht="17" thickBot="1">
      <c r="A10" s="23" t="s">
        <v>114</v>
      </c>
      <c r="B10" s="24" t="s">
        <v>89</v>
      </c>
      <c r="C10" s="25" t="s">
        <v>74</v>
      </c>
      <c r="D10" s="24" t="s">
        <v>75</v>
      </c>
      <c r="E10" s="24" t="s">
        <v>76</v>
      </c>
      <c r="F10" s="24" t="s">
        <v>90</v>
      </c>
      <c r="G10" s="24" t="s">
        <v>110</v>
      </c>
      <c r="H10" s="24" t="s">
        <v>115</v>
      </c>
      <c r="I10" s="24" t="s">
        <v>92</v>
      </c>
      <c r="J10" s="24" t="s">
        <v>80</v>
      </c>
      <c r="K10" s="24" t="s">
        <v>81</v>
      </c>
      <c r="L10" s="24" t="s">
        <v>82</v>
      </c>
      <c r="M10" s="24" t="s">
        <v>93</v>
      </c>
      <c r="N10" s="24"/>
      <c r="O10" s="24"/>
      <c r="P10" s="26">
        <v>45954</v>
      </c>
      <c r="Q10" s="24"/>
      <c r="R10" s="24"/>
      <c r="S10" s="24"/>
      <c r="T10" s="24" t="s">
        <v>116</v>
      </c>
    </row>
    <row r="11" spans="1:20" ht="17" thickBot="1">
      <c r="A11" s="23" t="s">
        <v>117</v>
      </c>
      <c r="B11" s="24" t="s">
        <v>89</v>
      </c>
      <c r="C11" s="25" t="s">
        <v>74</v>
      </c>
      <c r="D11" s="24" t="s">
        <v>75</v>
      </c>
      <c r="E11" s="24" t="s">
        <v>76</v>
      </c>
      <c r="F11" s="24" t="s">
        <v>90</v>
      </c>
      <c r="G11" s="24" t="s">
        <v>46</v>
      </c>
      <c r="H11" s="24" t="s">
        <v>19</v>
      </c>
      <c r="I11" s="24" t="s">
        <v>92</v>
      </c>
      <c r="J11" s="24" t="s">
        <v>80</v>
      </c>
      <c r="K11" s="24" t="s">
        <v>81</v>
      </c>
      <c r="L11" s="24" t="s">
        <v>82</v>
      </c>
      <c r="M11" s="24" t="s">
        <v>93</v>
      </c>
      <c r="N11" s="24"/>
      <c r="O11" s="24"/>
      <c r="P11" s="26">
        <v>45966</v>
      </c>
      <c r="Q11" s="24"/>
      <c r="R11" s="24"/>
      <c r="S11" s="24"/>
      <c r="T11" s="24" t="s">
        <v>112</v>
      </c>
    </row>
    <row r="12" spans="1:20" ht="17" thickBot="1">
      <c r="A12" s="23" t="s">
        <v>118</v>
      </c>
      <c r="B12" s="24" t="s">
        <v>89</v>
      </c>
      <c r="C12" s="25" t="s">
        <v>74</v>
      </c>
      <c r="D12" s="24" t="s">
        <v>75</v>
      </c>
      <c r="E12" s="24" t="s">
        <v>76</v>
      </c>
      <c r="F12" s="24" t="s">
        <v>90</v>
      </c>
      <c r="G12" s="24" t="s">
        <v>119</v>
      </c>
      <c r="H12" s="24" t="s">
        <v>120</v>
      </c>
      <c r="I12" s="24" t="s">
        <v>92</v>
      </c>
      <c r="J12" s="24" t="s">
        <v>102</v>
      </c>
      <c r="K12" s="24" t="s">
        <v>103</v>
      </c>
      <c r="L12" s="24" t="s">
        <v>82</v>
      </c>
      <c r="M12" s="24" t="s">
        <v>93</v>
      </c>
      <c r="N12" s="24"/>
      <c r="O12" s="24"/>
      <c r="P12" s="26">
        <v>45968</v>
      </c>
      <c r="Q12" s="24"/>
      <c r="R12" s="24"/>
      <c r="S12" s="24"/>
      <c r="T12" s="24" t="s">
        <v>121</v>
      </c>
    </row>
    <row r="13" spans="1:20" ht="17" thickBot="1">
      <c r="A13" s="23" t="s">
        <v>122</v>
      </c>
      <c r="B13" s="24" t="s">
        <v>89</v>
      </c>
      <c r="C13" s="25" t="s">
        <v>74</v>
      </c>
      <c r="D13" s="24" t="s">
        <v>75</v>
      </c>
      <c r="E13" s="24" t="s">
        <v>76</v>
      </c>
      <c r="F13" s="24" t="s">
        <v>90</v>
      </c>
      <c r="G13" s="24" t="s">
        <v>46</v>
      </c>
      <c r="H13" s="24" t="s">
        <v>19</v>
      </c>
      <c r="I13" s="24" t="s">
        <v>92</v>
      </c>
      <c r="J13" s="24" t="s">
        <v>102</v>
      </c>
      <c r="K13" s="24" t="s">
        <v>103</v>
      </c>
      <c r="L13" s="24" t="s">
        <v>82</v>
      </c>
      <c r="M13" s="24" t="s">
        <v>93</v>
      </c>
      <c r="N13" s="24"/>
      <c r="O13" s="24"/>
      <c r="P13" s="26">
        <v>45962</v>
      </c>
      <c r="Q13" s="24"/>
      <c r="R13" s="24"/>
      <c r="S13" s="24"/>
      <c r="T13" s="24" t="s">
        <v>123</v>
      </c>
    </row>
    <row r="14" spans="1:20" ht="17" thickBot="1">
      <c r="A14" s="23" t="s">
        <v>124</v>
      </c>
      <c r="B14" s="24" t="s">
        <v>89</v>
      </c>
      <c r="C14" s="25" t="s">
        <v>74</v>
      </c>
      <c r="D14" s="24" t="s">
        <v>75</v>
      </c>
      <c r="E14" s="24" t="s">
        <v>76</v>
      </c>
      <c r="F14" s="24" t="s">
        <v>90</v>
      </c>
      <c r="G14" s="24" t="s">
        <v>46</v>
      </c>
      <c r="H14" s="24" t="s">
        <v>19</v>
      </c>
      <c r="I14" s="24" t="s">
        <v>92</v>
      </c>
      <c r="J14" s="24" t="s">
        <v>102</v>
      </c>
      <c r="K14" s="24" t="s">
        <v>103</v>
      </c>
      <c r="L14" s="24" t="s">
        <v>82</v>
      </c>
      <c r="M14" s="24" t="s">
        <v>93</v>
      </c>
      <c r="N14" s="24"/>
      <c r="O14" s="24"/>
      <c r="P14" s="26">
        <v>45966</v>
      </c>
      <c r="Q14" s="24"/>
      <c r="R14" s="24"/>
      <c r="S14" s="24"/>
      <c r="T14" s="24" t="s">
        <v>87</v>
      </c>
    </row>
    <row r="15" spans="1:20" ht="17" thickBot="1">
      <c r="A15" s="23" t="s">
        <v>125</v>
      </c>
      <c r="B15" s="24" t="s">
        <v>89</v>
      </c>
      <c r="C15" s="25" t="s">
        <v>74</v>
      </c>
      <c r="D15" s="24" t="s">
        <v>75</v>
      </c>
      <c r="E15" s="24" t="s">
        <v>76</v>
      </c>
      <c r="F15" s="24" t="s">
        <v>90</v>
      </c>
      <c r="G15" s="24" t="s">
        <v>126</v>
      </c>
      <c r="H15" s="24" t="s">
        <v>19</v>
      </c>
      <c r="I15" s="24" t="s">
        <v>92</v>
      </c>
      <c r="J15" s="24" t="s">
        <v>102</v>
      </c>
      <c r="K15" s="24" t="s">
        <v>127</v>
      </c>
      <c r="L15" s="24" t="s">
        <v>82</v>
      </c>
      <c r="M15" s="24" t="s">
        <v>93</v>
      </c>
      <c r="N15" s="24"/>
      <c r="O15" s="24"/>
      <c r="P15" s="26">
        <v>45985</v>
      </c>
      <c r="Q15" s="24"/>
      <c r="R15" s="24"/>
      <c r="S15" s="24"/>
      <c r="T15" s="24" t="s">
        <v>123</v>
      </c>
    </row>
    <row r="16" spans="1:20" ht="17" thickBot="1">
      <c r="A16" s="23" t="s">
        <v>128</v>
      </c>
      <c r="B16" s="24" t="s">
        <v>89</v>
      </c>
      <c r="C16" s="24" t="s">
        <v>74</v>
      </c>
      <c r="D16" s="24" t="s">
        <v>75</v>
      </c>
      <c r="E16" s="24" t="s">
        <v>76</v>
      </c>
      <c r="F16" s="24" t="s">
        <v>90</v>
      </c>
      <c r="G16" s="24" t="s">
        <v>126</v>
      </c>
      <c r="H16" s="24" t="s">
        <v>120</v>
      </c>
      <c r="I16" s="24" t="s">
        <v>129</v>
      </c>
      <c r="J16" s="24" t="s">
        <v>102</v>
      </c>
      <c r="K16" s="24" t="s">
        <v>127</v>
      </c>
      <c r="L16" s="24" t="s">
        <v>82</v>
      </c>
      <c r="M16" s="24" t="s">
        <v>93</v>
      </c>
      <c r="N16" s="24"/>
      <c r="O16" s="24"/>
      <c r="P16" s="26">
        <v>45993</v>
      </c>
      <c r="Q16" s="24"/>
      <c r="R16" s="24"/>
      <c r="S16" s="24"/>
      <c r="T16" s="24" t="s">
        <v>123</v>
      </c>
    </row>
    <row r="17" spans="1:20" ht="17" thickBot="1">
      <c r="A17" s="28" t="s">
        <v>130</v>
      </c>
      <c r="B17" s="24" t="s">
        <v>89</v>
      </c>
      <c r="C17" s="24" t="s">
        <v>131</v>
      </c>
      <c r="D17" s="24" t="s">
        <v>75</v>
      </c>
      <c r="E17" s="24" t="s">
        <v>76</v>
      </c>
      <c r="F17" s="24" t="s">
        <v>96</v>
      </c>
      <c r="G17" s="24" t="s">
        <v>97</v>
      </c>
      <c r="H17" s="24" t="s">
        <v>91</v>
      </c>
      <c r="I17" s="24" t="s">
        <v>92</v>
      </c>
      <c r="J17" s="24" t="s">
        <v>102</v>
      </c>
      <c r="K17" s="24" t="s">
        <v>127</v>
      </c>
      <c r="L17" s="24" t="s">
        <v>104</v>
      </c>
      <c r="M17" s="24" t="s">
        <v>105</v>
      </c>
      <c r="N17" s="24"/>
      <c r="O17" s="24" t="s">
        <v>191</v>
      </c>
      <c r="P17" s="24"/>
      <c r="Q17" s="24" t="s">
        <v>132</v>
      </c>
      <c r="R17" s="24" t="s">
        <v>133</v>
      </c>
      <c r="S17" s="24" t="s">
        <v>134</v>
      </c>
      <c r="T17" s="24" t="s">
        <v>84</v>
      </c>
    </row>
    <row r="18" spans="1:20" ht="17" thickBot="1">
      <c r="A18" s="23" t="s">
        <v>135</v>
      </c>
      <c r="B18" s="24" t="s">
        <v>89</v>
      </c>
      <c r="C18" s="24" t="s">
        <v>131</v>
      </c>
      <c r="D18" s="24" t="s">
        <v>75</v>
      </c>
      <c r="E18" s="24" t="s">
        <v>76</v>
      </c>
      <c r="F18" s="24" t="s">
        <v>96</v>
      </c>
      <c r="G18" s="24" t="s">
        <v>97</v>
      </c>
      <c r="H18" s="24" t="s">
        <v>91</v>
      </c>
      <c r="I18" s="24" t="s">
        <v>111</v>
      </c>
      <c r="J18" s="24" t="s">
        <v>102</v>
      </c>
      <c r="K18" s="24" t="s">
        <v>127</v>
      </c>
      <c r="L18" s="24" t="s">
        <v>82</v>
      </c>
      <c r="M18" s="24" t="s">
        <v>93</v>
      </c>
      <c r="N18" s="24"/>
      <c r="O18" s="24"/>
      <c r="P18" s="26">
        <v>46004</v>
      </c>
      <c r="Q18" s="24"/>
      <c r="R18" s="24"/>
      <c r="S18" s="24"/>
      <c r="T18" s="24" t="s">
        <v>136</v>
      </c>
    </row>
    <row r="19" spans="1:20" ht="17" thickBot="1">
      <c r="A19" s="23" t="s">
        <v>137</v>
      </c>
      <c r="B19" s="24" t="s">
        <v>89</v>
      </c>
      <c r="C19" s="24" t="s">
        <v>131</v>
      </c>
      <c r="D19" s="24" t="s">
        <v>75</v>
      </c>
      <c r="E19" s="24" t="s">
        <v>76</v>
      </c>
      <c r="F19" s="24" t="s">
        <v>90</v>
      </c>
      <c r="G19" s="24" t="s">
        <v>126</v>
      </c>
      <c r="H19" s="24" t="s">
        <v>19</v>
      </c>
      <c r="I19" s="24" t="s">
        <v>92</v>
      </c>
      <c r="J19" s="24" t="s">
        <v>102</v>
      </c>
      <c r="K19" s="24" t="s">
        <v>127</v>
      </c>
      <c r="L19" s="24" t="s">
        <v>82</v>
      </c>
      <c r="M19" s="24" t="s">
        <v>93</v>
      </c>
      <c r="N19" s="24"/>
      <c r="O19" s="24" t="s">
        <v>204</v>
      </c>
      <c r="P19" s="26">
        <v>45993</v>
      </c>
      <c r="Q19" s="24"/>
      <c r="R19" s="24"/>
      <c r="S19" s="24"/>
      <c r="T19" s="24" t="s">
        <v>87</v>
      </c>
    </row>
    <row r="20" spans="1:20" ht="17" thickBot="1">
      <c r="A20" s="23" t="s">
        <v>138</v>
      </c>
      <c r="B20" s="24" t="s">
        <v>89</v>
      </c>
      <c r="C20" s="24" t="s">
        <v>74</v>
      </c>
      <c r="D20" s="24" t="s">
        <v>75</v>
      </c>
      <c r="E20" s="24" t="s">
        <v>76</v>
      </c>
      <c r="F20" s="24" t="s">
        <v>139</v>
      </c>
      <c r="G20" s="24" t="s">
        <v>140</v>
      </c>
      <c r="H20" s="24" t="s">
        <v>141</v>
      </c>
      <c r="I20" s="24" t="s">
        <v>92</v>
      </c>
      <c r="J20" s="24" t="s">
        <v>102</v>
      </c>
      <c r="K20" s="24" t="s">
        <v>127</v>
      </c>
      <c r="L20" s="24" t="s">
        <v>82</v>
      </c>
      <c r="M20" s="24" t="s">
        <v>93</v>
      </c>
      <c r="N20" s="24"/>
      <c r="O20" s="24"/>
      <c r="P20" s="26">
        <v>45982</v>
      </c>
      <c r="Q20" s="24"/>
      <c r="R20" s="24"/>
      <c r="S20" s="24"/>
      <c r="T20" s="24" t="s">
        <v>112</v>
      </c>
    </row>
    <row r="21" spans="1:20" ht="17" thickBot="1">
      <c r="A21" s="29" t="s">
        <v>142</v>
      </c>
      <c r="B21" s="24" t="s">
        <v>89</v>
      </c>
      <c r="C21" s="24" t="s">
        <v>131</v>
      </c>
      <c r="D21" s="24" t="s">
        <v>75</v>
      </c>
      <c r="E21" s="24" t="s">
        <v>76</v>
      </c>
      <c r="F21" s="24" t="s">
        <v>139</v>
      </c>
      <c r="G21" s="24" t="s">
        <v>143</v>
      </c>
      <c r="H21" s="24" t="s">
        <v>19</v>
      </c>
      <c r="I21" s="24" t="s">
        <v>92</v>
      </c>
      <c r="J21" s="24" t="s">
        <v>102</v>
      </c>
      <c r="K21" s="24" t="s">
        <v>127</v>
      </c>
      <c r="L21" s="24" t="s">
        <v>104</v>
      </c>
      <c r="M21" s="24" t="s">
        <v>105</v>
      </c>
      <c r="N21" s="24"/>
      <c r="O21" s="24" t="s">
        <v>193</v>
      </c>
      <c r="P21" s="24"/>
      <c r="Q21" s="24" t="s">
        <v>132</v>
      </c>
      <c r="R21" s="24" t="s">
        <v>144</v>
      </c>
      <c r="S21" s="24" t="s">
        <v>145</v>
      </c>
      <c r="T21" s="24" t="s">
        <v>123</v>
      </c>
    </row>
    <row r="22" spans="1:20" ht="17" thickBot="1">
      <c r="A22" s="28" t="s">
        <v>146</v>
      </c>
      <c r="B22" s="24" t="s">
        <v>89</v>
      </c>
      <c r="C22" s="24" t="s">
        <v>131</v>
      </c>
      <c r="D22" s="24" t="s">
        <v>75</v>
      </c>
      <c r="E22" s="24" t="s">
        <v>76</v>
      </c>
      <c r="F22" s="24" t="s">
        <v>139</v>
      </c>
      <c r="G22" s="24" t="s">
        <v>147</v>
      </c>
      <c r="H22" s="24" t="s">
        <v>19</v>
      </c>
      <c r="I22" s="24" t="s">
        <v>92</v>
      </c>
      <c r="J22" s="24" t="s">
        <v>80</v>
      </c>
      <c r="K22" s="24" t="s">
        <v>98</v>
      </c>
      <c r="L22" s="24" t="s">
        <v>82</v>
      </c>
      <c r="M22" s="24" t="s">
        <v>93</v>
      </c>
      <c r="N22" s="24"/>
      <c r="O22" s="24" t="s">
        <v>203</v>
      </c>
      <c r="P22" s="26">
        <v>46002</v>
      </c>
      <c r="Q22" s="24"/>
      <c r="R22" s="24"/>
      <c r="S22" s="24"/>
      <c r="T22" s="24" t="s">
        <v>84</v>
      </c>
    </row>
    <row r="23" spans="1:20" ht="17" thickBot="1">
      <c r="A23" s="23" t="s">
        <v>148</v>
      </c>
      <c r="B23" s="24" t="s">
        <v>89</v>
      </c>
      <c r="C23" s="24" t="s">
        <v>131</v>
      </c>
      <c r="D23" s="24" t="s">
        <v>75</v>
      </c>
      <c r="E23" s="24" t="s">
        <v>76</v>
      </c>
      <c r="F23" s="24" t="s">
        <v>90</v>
      </c>
      <c r="G23" s="24" t="s">
        <v>149</v>
      </c>
      <c r="H23" s="24" t="s">
        <v>150</v>
      </c>
      <c r="I23" s="24" t="s">
        <v>111</v>
      </c>
      <c r="J23" s="24" t="s">
        <v>102</v>
      </c>
      <c r="K23" s="24" t="s">
        <v>127</v>
      </c>
      <c r="L23" s="24" t="s">
        <v>82</v>
      </c>
      <c r="M23" s="24" t="s">
        <v>93</v>
      </c>
      <c r="N23" s="24"/>
      <c r="O23" s="24"/>
      <c r="P23" s="26">
        <v>45985</v>
      </c>
      <c r="Q23" s="24"/>
      <c r="R23" s="24"/>
      <c r="S23" s="24"/>
      <c r="T23" s="24" t="s">
        <v>112</v>
      </c>
    </row>
    <row r="24" spans="1:20" ht="17" thickBot="1">
      <c r="A24" s="27" t="s">
        <v>151</v>
      </c>
      <c r="B24" s="24" t="s">
        <v>89</v>
      </c>
      <c r="C24" s="24" t="s">
        <v>131</v>
      </c>
      <c r="D24" s="24" t="s">
        <v>75</v>
      </c>
      <c r="E24" s="24" t="s">
        <v>76</v>
      </c>
      <c r="F24" s="24" t="s">
        <v>139</v>
      </c>
      <c r="G24" s="24" t="s">
        <v>147</v>
      </c>
      <c r="H24" s="24" t="s">
        <v>19</v>
      </c>
      <c r="I24" s="24" t="s">
        <v>92</v>
      </c>
      <c r="J24" s="24" t="s">
        <v>102</v>
      </c>
      <c r="K24" s="24" t="s">
        <v>127</v>
      </c>
      <c r="L24" s="24" t="s">
        <v>104</v>
      </c>
      <c r="M24" s="24" t="s">
        <v>105</v>
      </c>
      <c r="N24" s="24"/>
      <c r="O24" s="24" t="s">
        <v>192</v>
      </c>
      <c r="P24" s="24"/>
      <c r="Q24" s="24" t="s">
        <v>106</v>
      </c>
      <c r="R24" s="24" t="s">
        <v>144</v>
      </c>
      <c r="S24" s="24" t="s">
        <v>145</v>
      </c>
      <c r="T24" s="24" t="s">
        <v>87</v>
      </c>
    </row>
    <row r="25" spans="1:20" ht="17" thickBot="1">
      <c r="A25" s="23" t="s">
        <v>152</v>
      </c>
      <c r="B25" s="24" t="s">
        <v>89</v>
      </c>
      <c r="C25" s="24" t="s">
        <v>131</v>
      </c>
      <c r="D25" s="24" t="s">
        <v>75</v>
      </c>
      <c r="E25" s="24" t="s">
        <v>76</v>
      </c>
      <c r="F25" s="24" t="s">
        <v>90</v>
      </c>
      <c r="G25" s="24" t="s">
        <v>153</v>
      </c>
      <c r="H25" s="24" t="s">
        <v>91</v>
      </c>
      <c r="I25" s="24" t="s">
        <v>111</v>
      </c>
      <c r="J25" s="24" t="s">
        <v>80</v>
      </c>
      <c r="K25" s="24" t="s">
        <v>98</v>
      </c>
      <c r="L25" s="24" t="s">
        <v>82</v>
      </c>
      <c r="M25" s="24" t="s">
        <v>93</v>
      </c>
      <c r="N25" s="24"/>
      <c r="O25" s="24"/>
      <c r="P25" s="26">
        <v>45985</v>
      </c>
      <c r="Q25" s="24"/>
      <c r="R25" s="24"/>
      <c r="S25" s="24"/>
      <c r="T25" s="24" t="s">
        <v>154</v>
      </c>
    </row>
    <row r="26" spans="1:20" ht="17" thickBot="1">
      <c r="A26" s="23" t="s">
        <v>155</v>
      </c>
      <c r="B26" s="24" t="s">
        <v>89</v>
      </c>
      <c r="C26" s="24" t="s">
        <v>131</v>
      </c>
      <c r="D26" s="24" t="s">
        <v>75</v>
      </c>
      <c r="E26" s="24" t="s">
        <v>76</v>
      </c>
      <c r="F26" s="24" t="s">
        <v>90</v>
      </c>
      <c r="G26" s="24" t="s">
        <v>30</v>
      </c>
      <c r="H26" s="24" t="s">
        <v>19</v>
      </c>
      <c r="I26" s="24" t="s">
        <v>92</v>
      </c>
      <c r="J26" s="24" t="s">
        <v>102</v>
      </c>
      <c r="K26" s="24" t="s">
        <v>127</v>
      </c>
      <c r="L26" s="24" t="s">
        <v>82</v>
      </c>
      <c r="M26" s="24" t="s">
        <v>93</v>
      </c>
      <c r="N26" s="24"/>
      <c r="O26" s="24"/>
      <c r="P26" s="26">
        <v>45983</v>
      </c>
      <c r="Q26" s="24"/>
      <c r="R26" s="24"/>
      <c r="S26" s="24"/>
      <c r="T26" s="24" t="s">
        <v>154</v>
      </c>
    </row>
    <row r="27" spans="1:20" ht="17" thickBot="1">
      <c r="A27" s="28" t="s">
        <v>156</v>
      </c>
      <c r="B27" s="30" t="s">
        <v>89</v>
      </c>
      <c r="C27" s="24" t="s">
        <v>131</v>
      </c>
      <c r="D27" s="24" t="s">
        <v>75</v>
      </c>
      <c r="E27" s="24" t="s">
        <v>76</v>
      </c>
      <c r="F27" s="24" t="s">
        <v>90</v>
      </c>
      <c r="G27" s="24" t="s">
        <v>157</v>
      </c>
      <c r="H27" s="24" t="s">
        <v>19</v>
      </c>
      <c r="I27" s="24" t="s">
        <v>92</v>
      </c>
      <c r="J27" s="24" t="s">
        <v>102</v>
      </c>
      <c r="K27" s="24" t="s">
        <v>127</v>
      </c>
      <c r="L27" s="24" t="s">
        <v>104</v>
      </c>
      <c r="M27" s="24" t="s">
        <v>105</v>
      </c>
      <c r="N27" s="24"/>
      <c r="O27" s="24" t="s">
        <v>194</v>
      </c>
      <c r="P27" s="24"/>
      <c r="Q27" s="24" t="s">
        <v>132</v>
      </c>
      <c r="R27" s="24" t="s">
        <v>133</v>
      </c>
      <c r="S27" s="24" t="s">
        <v>158</v>
      </c>
      <c r="T27" s="24" t="s">
        <v>87</v>
      </c>
    </row>
    <row r="28" spans="1:20" ht="17" thickBot="1">
      <c r="A28" s="23" t="s">
        <v>159</v>
      </c>
      <c r="B28" s="24" t="s">
        <v>89</v>
      </c>
      <c r="C28" s="24" t="s">
        <v>131</v>
      </c>
      <c r="D28" s="24" t="s">
        <v>75</v>
      </c>
      <c r="E28" s="24" t="s">
        <v>76</v>
      </c>
      <c r="F28" s="24" t="s">
        <v>90</v>
      </c>
      <c r="G28" s="24" t="s">
        <v>28</v>
      </c>
      <c r="H28" s="24" t="s">
        <v>91</v>
      </c>
      <c r="I28" s="24" t="s">
        <v>92</v>
      </c>
      <c r="J28" s="24" t="s">
        <v>102</v>
      </c>
      <c r="K28" s="24" t="s">
        <v>127</v>
      </c>
      <c r="L28" s="24" t="s">
        <v>82</v>
      </c>
      <c r="M28" s="24" t="s">
        <v>93</v>
      </c>
      <c r="N28" s="24"/>
      <c r="O28" s="24"/>
      <c r="P28" s="26">
        <v>46004</v>
      </c>
      <c r="Q28" s="24"/>
      <c r="R28" s="24"/>
      <c r="S28" s="24"/>
      <c r="T28" s="24" t="s">
        <v>154</v>
      </c>
    </row>
    <row r="29" spans="1:20" ht="17" thickBot="1">
      <c r="A29" s="23" t="s">
        <v>160</v>
      </c>
      <c r="B29" s="24" t="s">
        <v>89</v>
      </c>
      <c r="C29" s="24" t="s">
        <v>131</v>
      </c>
      <c r="D29" s="24" t="s">
        <v>75</v>
      </c>
      <c r="E29" s="24" t="s">
        <v>76</v>
      </c>
      <c r="F29" s="24" t="s">
        <v>90</v>
      </c>
      <c r="G29" s="24" t="s">
        <v>29</v>
      </c>
      <c r="H29" s="24" t="s">
        <v>91</v>
      </c>
      <c r="I29" s="24" t="s">
        <v>92</v>
      </c>
      <c r="J29" s="24" t="s">
        <v>102</v>
      </c>
      <c r="K29" s="24" t="s">
        <v>127</v>
      </c>
      <c r="L29" s="24" t="s">
        <v>82</v>
      </c>
      <c r="M29" s="24" t="s">
        <v>93</v>
      </c>
      <c r="N29" s="24"/>
      <c r="O29" s="24"/>
      <c r="P29" s="26">
        <v>45999</v>
      </c>
      <c r="Q29" s="24"/>
      <c r="R29" s="24"/>
      <c r="S29" s="24"/>
      <c r="T29" s="24" t="s">
        <v>87</v>
      </c>
    </row>
    <row r="30" spans="1:20" ht="17" thickBot="1">
      <c r="A30" s="23" t="s">
        <v>161</v>
      </c>
      <c r="B30" s="24" t="s">
        <v>89</v>
      </c>
      <c r="C30" s="24" t="s">
        <v>131</v>
      </c>
      <c r="D30" s="24" t="s">
        <v>75</v>
      </c>
      <c r="E30" s="24" t="s">
        <v>76</v>
      </c>
      <c r="F30" s="24" t="s">
        <v>90</v>
      </c>
      <c r="G30" s="24" t="s">
        <v>26</v>
      </c>
      <c r="H30" s="24" t="s">
        <v>19</v>
      </c>
      <c r="I30" s="24" t="s">
        <v>92</v>
      </c>
      <c r="J30" s="24" t="s">
        <v>102</v>
      </c>
      <c r="K30" s="24" t="s">
        <v>127</v>
      </c>
      <c r="L30" s="24" t="s">
        <v>82</v>
      </c>
      <c r="M30" s="24" t="s">
        <v>93</v>
      </c>
      <c r="N30" s="24"/>
      <c r="O30" s="24"/>
      <c r="P30" s="26">
        <v>45987</v>
      </c>
      <c r="Q30" s="24"/>
      <c r="R30" s="24"/>
      <c r="S30" s="24"/>
      <c r="T30" s="24" t="s">
        <v>87</v>
      </c>
    </row>
    <row r="31" spans="1:20" ht="17" thickBot="1">
      <c r="A31" s="23" t="s">
        <v>162</v>
      </c>
      <c r="B31" s="24" t="s">
        <v>89</v>
      </c>
      <c r="C31" s="24" t="s">
        <v>131</v>
      </c>
      <c r="D31" s="24" t="s">
        <v>75</v>
      </c>
      <c r="E31" s="24" t="s">
        <v>76</v>
      </c>
      <c r="F31" s="24" t="s">
        <v>90</v>
      </c>
      <c r="G31" s="24" t="s">
        <v>27</v>
      </c>
      <c r="H31" s="24" t="s">
        <v>91</v>
      </c>
      <c r="I31" s="24" t="s">
        <v>92</v>
      </c>
      <c r="J31" s="24" t="s">
        <v>102</v>
      </c>
      <c r="K31" s="24" t="s">
        <v>127</v>
      </c>
      <c r="L31" s="24" t="s">
        <v>82</v>
      </c>
      <c r="M31" s="24" t="s">
        <v>93</v>
      </c>
      <c r="N31" s="24"/>
      <c r="O31" s="24"/>
      <c r="P31" s="26">
        <v>45987</v>
      </c>
      <c r="Q31" s="24"/>
      <c r="R31" s="24"/>
      <c r="S31" s="24"/>
      <c r="T31" s="24" t="s">
        <v>87</v>
      </c>
    </row>
    <row r="32" spans="1:20" ht="17" thickBot="1">
      <c r="A32" s="27" t="s">
        <v>163</v>
      </c>
      <c r="B32" s="24" t="s">
        <v>89</v>
      </c>
      <c r="C32" s="24" t="s">
        <v>131</v>
      </c>
      <c r="D32" s="24" t="s">
        <v>75</v>
      </c>
      <c r="E32" s="24" t="s">
        <v>76</v>
      </c>
      <c r="F32" s="24" t="s">
        <v>90</v>
      </c>
      <c r="G32" s="24" t="s">
        <v>29</v>
      </c>
      <c r="H32" s="24" t="s">
        <v>91</v>
      </c>
      <c r="I32" s="24" t="s">
        <v>92</v>
      </c>
      <c r="J32" s="24" t="s">
        <v>102</v>
      </c>
      <c r="K32" s="24" t="s">
        <v>127</v>
      </c>
      <c r="L32" s="24" t="s">
        <v>82</v>
      </c>
      <c r="M32" s="24" t="s">
        <v>93</v>
      </c>
      <c r="N32" s="24"/>
      <c r="O32" s="24" t="s">
        <v>207</v>
      </c>
      <c r="P32" s="26">
        <v>45988</v>
      </c>
      <c r="Q32" s="24"/>
      <c r="R32" s="24"/>
      <c r="S32" s="24"/>
      <c r="T32" s="24" t="s">
        <v>112</v>
      </c>
    </row>
    <row r="33" spans="1:20" ht="17" thickBot="1">
      <c r="A33" s="23" t="s">
        <v>164</v>
      </c>
      <c r="B33" s="24" t="s">
        <v>89</v>
      </c>
      <c r="C33" s="24" t="s">
        <v>131</v>
      </c>
      <c r="D33" s="24" t="s">
        <v>75</v>
      </c>
      <c r="E33" s="24" t="s">
        <v>76</v>
      </c>
      <c r="F33" s="24" t="s">
        <v>90</v>
      </c>
      <c r="G33" s="24" t="s">
        <v>26</v>
      </c>
      <c r="H33" s="24" t="s">
        <v>19</v>
      </c>
      <c r="I33" s="24" t="s">
        <v>92</v>
      </c>
      <c r="J33" s="24" t="s">
        <v>102</v>
      </c>
      <c r="K33" s="24" t="s">
        <v>127</v>
      </c>
      <c r="L33" s="24" t="s">
        <v>82</v>
      </c>
      <c r="M33" s="24" t="s">
        <v>93</v>
      </c>
      <c r="N33" s="24"/>
      <c r="O33" s="24"/>
      <c r="P33" s="26">
        <v>45999</v>
      </c>
      <c r="Q33" s="24"/>
      <c r="R33" s="24"/>
      <c r="S33" s="24"/>
      <c r="T33" s="24" t="s">
        <v>112</v>
      </c>
    </row>
    <row r="34" spans="1:20" ht="17" thickBot="1">
      <c r="A34" s="27" t="s">
        <v>39</v>
      </c>
      <c r="B34" s="24" t="s">
        <v>89</v>
      </c>
      <c r="C34" s="24" t="s">
        <v>131</v>
      </c>
      <c r="D34" s="24" t="s">
        <v>75</v>
      </c>
      <c r="E34" s="24" t="s">
        <v>76</v>
      </c>
      <c r="F34" s="24" t="s">
        <v>139</v>
      </c>
      <c r="G34" s="24" t="s">
        <v>40</v>
      </c>
      <c r="H34" s="24" t="s">
        <v>91</v>
      </c>
      <c r="I34" s="24" t="s">
        <v>111</v>
      </c>
      <c r="J34" s="24" t="s">
        <v>80</v>
      </c>
      <c r="K34" s="24" t="s">
        <v>98</v>
      </c>
      <c r="L34" s="24" t="s">
        <v>104</v>
      </c>
      <c r="M34" s="24" t="s">
        <v>105</v>
      </c>
      <c r="N34" s="24"/>
      <c r="O34" s="24" t="s">
        <v>195</v>
      </c>
      <c r="P34" s="24"/>
      <c r="Q34" s="24" t="s">
        <v>132</v>
      </c>
      <c r="R34" s="24" t="s">
        <v>165</v>
      </c>
      <c r="S34" s="24" t="s">
        <v>166</v>
      </c>
      <c r="T34" s="24" t="s">
        <v>167</v>
      </c>
    </row>
    <row r="35" spans="1:20" ht="17" thickBot="1">
      <c r="A35" s="28" t="s">
        <v>43</v>
      </c>
      <c r="B35" s="24" t="s">
        <v>89</v>
      </c>
      <c r="C35" s="24" t="s">
        <v>131</v>
      </c>
      <c r="D35" s="24" t="s">
        <v>75</v>
      </c>
      <c r="E35" s="24" t="s">
        <v>76</v>
      </c>
      <c r="F35" s="24" t="s">
        <v>139</v>
      </c>
      <c r="G35" s="24" t="s">
        <v>44</v>
      </c>
      <c r="H35" s="24" t="s">
        <v>91</v>
      </c>
      <c r="I35" s="24" t="s">
        <v>92</v>
      </c>
      <c r="J35" s="24" t="s">
        <v>80</v>
      </c>
      <c r="K35" s="24" t="s">
        <v>98</v>
      </c>
      <c r="L35" s="24" t="s">
        <v>104</v>
      </c>
      <c r="M35" s="24" t="s">
        <v>105</v>
      </c>
      <c r="N35" s="24"/>
      <c r="O35" s="24" t="s">
        <v>196</v>
      </c>
      <c r="P35" s="24"/>
      <c r="Q35" s="24" t="s">
        <v>132</v>
      </c>
      <c r="R35" s="24" t="s">
        <v>168</v>
      </c>
      <c r="S35" s="24" t="s">
        <v>169</v>
      </c>
      <c r="T35" s="24" t="s">
        <v>112</v>
      </c>
    </row>
    <row r="36" spans="1:20" ht="17" thickBot="1">
      <c r="A36" s="23" t="s">
        <v>35</v>
      </c>
      <c r="B36" s="24" t="s">
        <v>89</v>
      </c>
      <c r="C36" s="24" t="s">
        <v>131</v>
      </c>
      <c r="D36" s="24" t="s">
        <v>75</v>
      </c>
      <c r="E36" s="24" t="s">
        <v>76</v>
      </c>
      <c r="F36" s="24" t="s">
        <v>90</v>
      </c>
      <c r="G36" s="24" t="s">
        <v>36</v>
      </c>
      <c r="H36" s="24" t="s">
        <v>170</v>
      </c>
      <c r="I36" s="24" t="s">
        <v>92</v>
      </c>
      <c r="J36" s="24" t="s">
        <v>80</v>
      </c>
      <c r="K36" s="24" t="s">
        <v>98</v>
      </c>
      <c r="L36" s="24" t="s">
        <v>104</v>
      </c>
      <c r="M36" s="24" t="s">
        <v>105</v>
      </c>
      <c r="N36" s="24"/>
      <c r="O36" s="24" t="s">
        <v>197</v>
      </c>
      <c r="P36" s="24"/>
      <c r="Q36" s="24" t="s">
        <v>171</v>
      </c>
      <c r="R36" s="24" t="s">
        <v>107</v>
      </c>
      <c r="S36" s="24" t="s">
        <v>172</v>
      </c>
      <c r="T36" s="24" t="s">
        <v>167</v>
      </c>
    </row>
    <row r="37" spans="1:20" ht="17" thickBot="1">
      <c r="A37" s="28" t="s">
        <v>173</v>
      </c>
      <c r="B37" s="30" t="s">
        <v>89</v>
      </c>
      <c r="C37" s="24" t="s">
        <v>74</v>
      </c>
      <c r="D37" s="24" t="s">
        <v>75</v>
      </c>
      <c r="E37" s="24" t="s">
        <v>76</v>
      </c>
      <c r="F37" s="24" t="s">
        <v>90</v>
      </c>
      <c r="G37" s="24" t="s">
        <v>174</v>
      </c>
      <c r="H37" s="24" t="s">
        <v>19</v>
      </c>
      <c r="I37" s="24" t="s">
        <v>92</v>
      </c>
      <c r="J37" s="24" t="s">
        <v>175</v>
      </c>
      <c r="K37" s="24" t="s">
        <v>176</v>
      </c>
      <c r="L37" s="24" t="s">
        <v>104</v>
      </c>
      <c r="M37" s="24" t="s">
        <v>105</v>
      </c>
      <c r="N37" s="24"/>
      <c r="O37" s="24" t="s">
        <v>198</v>
      </c>
      <c r="P37" s="24"/>
      <c r="Q37" s="24" t="s">
        <v>171</v>
      </c>
      <c r="R37" s="24" t="s">
        <v>107</v>
      </c>
      <c r="S37" s="24" t="s">
        <v>177</v>
      </c>
      <c r="T37" s="24" t="s">
        <v>167</v>
      </c>
    </row>
    <row r="38" spans="1:20" ht="17" thickBot="1">
      <c r="A38" s="28" t="s">
        <v>178</v>
      </c>
      <c r="B38" s="24" t="s">
        <v>89</v>
      </c>
      <c r="C38" s="24" t="s">
        <v>131</v>
      </c>
      <c r="D38" s="24" t="s">
        <v>75</v>
      </c>
      <c r="E38" s="24" t="s">
        <v>76</v>
      </c>
      <c r="F38" s="24" t="s">
        <v>90</v>
      </c>
      <c r="G38" s="24" t="s">
        <v>26</v>
      </c>
      <c r="H38" s="24" t="s">
        <v>19</v>
      </c>
      <c r="I38" s="24" t="s">
        <v>92</v>
      </c>
      <c r="J38" s="24" t="s">
        <v>102</v>
      </c>
      <c r="K38" s="24" t="s">
        <v>127</v>
      </c>
      <c r="L38" s="24" t="s">
        <v>104</v>
      </c>
      <c r="M38" s="24" t="s">
        <v>105</v>
      </c>
      <c r="N38" s="24"/>
      <c r="O38" s="24" t="s">
        <v>199</v>
      </c>
      <c r="P38" s="24"/>
      <c r="Q38" s="24" t="s">
        <v>106</v>
      </c>
      <c r="R38" s="24" t="s">
        <v>107</v>
      </c>
      <c r="S38" s="24" t="s">
        <v>179</v>
      </c>
      <c r="T38" s="24" t="s">
        <v>87</v>
      </c>
    </row>
    <row r="39" spans="1:20" ht="33" thickBot="1">
      <c r="A39" s="28" t="s">
        <v>47</v>
      </c>
      <c r="B39" s="24" t="s">
        <v>89</v>
      </c>
      <c r="C39" s="25" t="s">
        <v>131</v>
      </c>
      <c r="D39" s="24" t="s">
        <v>75</v>
      </c>
      <c r="E39" s="24" t="s">
        <v>76</v>
      </c>
      <c r="F39" s="24" t="s">
        <v>90</v>
      </c>
      <c r="G39" s="24" t="s">
        <v>46</v>
      </c>
      <c r="H39" s="24" t="s">
        <v>91</v>
      </c>
      <c r="I39" s="24" t="s">
        <v>92</v>
      </c>
      <c r="J39" s="24" t="s">
        <v>80</v>
      </c>
      <c r="K39" s="24" t="s">
        <v>98</v>
      </c>
      <c r="L39" s="24" t="s">
        <v>104</v>
      </c>
      <c r="M39" s="24" t="s">
        <v>105</v>
      </c>
      <c r="N39" s="24"/>
      <c r="O39" s="24" t="s">
        <v>200</v>
      </c>
      <c r="P39" s="24"/>
      <c r="Q39" s="24" t="s">
        <v>132</v>
      </c>
      <c r="R39" s="24" t="s">
        <v>144</v>
      </c>
      <c r="S39" s="24" t="s">
        <v>180</v>
      </c>
      <c r="T39" s="24" t="s">
        <v>87</v>
      </c>
    </row>
    <row r="40" spans="1:20" ht="33" thickBot="1">
      <c r="A40" s="23" t="s">
        <v>48</v>
      </c>
      <c r="B40" s="24" t="s">
        <v>89</v>
      </c>
      <c r="C40" s="25" t="s">
        <v>131</v>
      </c>
      <c r="D40" s="24" t="s">
        <v>75</v>
      </c>
      <c r="E40" s="24" t="s">
        <v>76</v>
      </c>
      <c r="F40" s="24" t="s">
        <v>90</v>
      </c>
      <c r="G40" s="24" t="s">
        <v>46</v>
      </c>
      <c r="H40" s="24" t="s">
        <v>91</v>
      </c>
      <c r="I40" s="24" t="s">
        <v>92</v>
      </c>
      <c r="J40" s="24" t="s">
        <v>80</v>
      </c>
      <c r="K40" s="24" t="s">
        <v>98</v>
      </c>
      <c r="L40" s="24" t="s">
        <v>104</v>
      </c>
      <c r="M40" s="24" t="s">
        <v>105</v>
      </c>
      <c r="N40" s="24"/>
      <c r="O40" s="24"/>
      <c r="P40" s="24"/>
      <c r="Q40" s="24" t="s">
        <v>132</v>
      </c>
      <c r="R40" s="24" t="s">
        <v>168</v>
      </c>
      <c r="S40" s="24" t="s">
        <v>181</v>
      </c>
      <c r="T40" s="24" t="s">
        <v>154</v>
      </c>
    </row>
    <row r="41" spans="1:20" ht="33" thickBot="1">
      <c r="A41" s="23" t="s">
        <v>41</v>
      </c>
      <c r="B41" s="24" t="s">
        <v>89</v>
      </c>
      <c r="C41" s="25" t="s">
        <v>131</v>
      </c>
      <c r="D41" s="24" t="s">
        <v>75</v>
      </c>
      <c r="E41" s="24" t="s">
        <v>76</v>
      </c>
      <c r="F41" s="24" t="s">
        <v>90</v>
      </c>
      <c r="G41" s="24" t="s">
        <v>42</v>
      </c>
      <c r="H41" s="24" t="s">
        <v>91</v>
      </c>
      <c r="I41" s="24" t="s">
        <v>111</v>
      </c>
      <c r="J41" s="24" t="s">
        <v>80</v>
      </c>
      <c r="K41" s="24" t="s">
        <v>98</v>
      </c>
      <c r="L41" s="24" t="s">
        <v>82</v>
      </c>
      <c r="M41" s="24" t="s">
        <v>93</v>
      </c>
      <c r="N41" s="24"/>
      <c r="O41" s="24"/>
      <c r="P41" s="26">
        <v>45999</v>
      </c>
      <c r="Q41" s="24"/>
      <c r="R41" s="24"/>
      <c r="S41" s="24"/>
      <c r="T41" s="24" t="s">
        <v>87</v>
      </c>
    </row>
    <row r="42" spans="1:20" ht="33" thickBot="1">
      <c r="A42" s="23" t="s">
        <v>34</v>
      </c>
      <c r="B42" s="24" t="s">
        <v>89</v>
      </c>
      <c r="C42" s="25" t="s">
        <v>131</v>
      </c>
      <c r="D42" s="24" t="s">
        <v>75</v>
      </c>
      <c r="E42" s="24" t="s">
        <v>76</v>
      </c>
      <c r="F42" s="24" t="s">
        <v>90</v>
      </c>
      <c r="G42" s="24" t="s">
        <v>30</v>
      </c>
      <c r="H42" s="24" t="s">
        <v>141</v>
      </c>
      <c r="I42" s="24" t="s">
        <v>92</v>
      </c>
      <c r="J42" s="24" t="s">
        <v>80</v>
      </c>
      <c r="K42" s="24" t="s">
        <v>98</v>
      </c>
      <c r="L42" s="24" t="s">
        <v>82</v>
      </c>
      <c r="M42" s="24" t="s">
        <v>93</v>
      </c>
      <c r="N42" s="24"/>
      <c r="O42" s="24"/>
      <c r="P42" s="26">
        <v>46000</v>
      </c>
      <c r="Q42" s="24"/>
      <c r="R42" s="24"/>
      <c r="S42" s="24"/>
      <c r="T42" s="24" t="s">
        <v>182</v>
      </c>
    </row>
    <row r="43" spans="1:20" ht="33" thickBot="1">
      <c r="A43" s="23" t="s">
        <v>37</v>
      </c>
      <c r="B43" s="24" t="s">
        <v>89</v>
      </c>
      <c r="C43" s="25" t="s">
        <v>131</v>
      </c>
      <c r="D43" s="24" t="s">
        <v>75</v>
      </c>
      <c r="E43" s="24" t="s">
        <v>76</v>
      </c>
      <c r="F43" s="24" t="s">
        <v>90</v>
      </c>
      <c r="G43" s="24" t="s">
        <v>38</v>
      </c>
      <c r="H43" s="24" t="s">
        <v>183</v>
      </c>
      <c r="I43" s="24" t="s">
        <v>92</v>
      </c>
      <c r="J43" s="24" t="s">
        <v>80</v>
      </c>
      <c r="K43" s="24" t="s">
        <v>98</v>
      </c>
      <c r="L43" s="24" t="s">
        <v>82</v>
      </c>
      <c r="M43" s="24" t="s">
        <v>93</v>
      </c>
      <c r="N43" s="24"/>
      <c r="O43" s="24"/>
      <c r="P43" s="26">
        <v>46000</v>
      </c>
      <c r="Q43" s="24"/>
      <c r="R43" s="24"/>
      <c r="S43" s="24"/>
      <c r="T43" s="24" t="s">
        <v>84</v>
      </c>
    </row>
    <row r="44" spans="1:20" ht="33" thickBot="1">
      <c r="A44" s="27" t="s">
        <v>45</v>
      </c>
      <c r="B44" s="24" t="s">
        <v>89</v>
      </c>
      <c r="C44" s="25" t="s">
        <v>131</v>
      </c>
      <c r="D44" s="24" t="s">
        <v>75</v>
      </c>
      <c r="E44" s="24" t="s">
        <v>76</v>
      </c>
      <c r="F44" s="24" t="s">
        <v>90</v>
      </c>
      <c r="G44" s="24" t="s">
        <v>46</v>
      </c>
      <c r="H44" s="24" t="s">
        <v>120</v>
      </c>
      <c r="I44" s="24" t="s">
        <v>129</v>
      </c>
      <c r="J44" s="24" t="s">
        <v>80</v>
      </c>
      <c r="K44" s="24" t="s">
        <v>98</v>
      </c>
      <c r="L44" s="24" t="s">
        <v>104</v>
      </c>
      <c r="M44" s="24" t="s">
        <v>105</v>
      </c>
      <c r="N44" s="24"/>
      <c r="O44" s="24" t="s">
        <v>201</v>
      </c>
      <c r="P44" s="24"/>
      <c r="Q44" s="24" t="s">
        <v>132</v>
      </c>
      <c r="R44" s="24" t="s">
        <v>133</v>
      </c>
      <c r="S44" s="24" t="s">
        <v>184</v>
      </c>
      <c r="T44" s="24" t="s">
        <v>87</v>
      </c>
    </row>
    <row r="45" spans="1:20" ht="17" thickBot="1">
      <c r="A45" s="28" t="s">
        <v>185</v>
      </c>
      <c r="B45" s="24" t="s">
        <v>89</v>
      </c>
      <c r="C45" s="25" t="s">
        <v>74</v>
      </c>
      <c r="D45" s="24" t="s">
        <v>75</v>
      </c>
      <c r="E45" s="24" t="s">
        <v>76</v>
      </c>
      <c r="F45" s="24" t="s">
        <v>90</v>
      </c>
      <c r="G45" s="24" t="s">
        <v>30</v>
      </c>
      <c r="H45" s="24" t="s">
        <v>186</v>
      </c>
      <c r="I45" s="24" t="s">
        <v>92</v>
      </c>
      <c r="J45" s="24" t="s">
        <v>102</v>
      </c>
      <c r="K45" s="24" t="s">
        <v>127</v>
      </c>
      <c r="L45" s="24" t="s">
        <v>82</v>
      </c>
      <c r="M45" s="24" t="s">
        <v>93</v>
      </c>
      <c r="N45" s="24"/>
      <c r="O45" s="24" t="s">
        <v>209</v>
      </c>
      <c r="P45" s="26">
        <v>46001</v>
      </c>
      <c r="Q45" s="24"/>
      <c r="R45" s="24"/>
      <c r="S45" s="24"/>
      <c r="T45" s="24" t="s">
        <v>154</v>
      </c>
    </row>
    <row r="46" spans="1:20" ht="33" thickBot="1">
      <c r="A46" s="28" t="s">
        <v>49</v>
      </c>
      <c r="B46" s="24" t="s">
        <v>89</v>
      </c>
      <c r="C46" s="25" t="s">
        <v>131</v>
      </c>
      <c r="D46" s="24" t="s">
        <v>75</v>
      </c>
      <c r="E46" s="24" t="s">
        <v>76</v>
      </c>
      <c r="F46" s="24" t="s">
        <v>139</v>
      </c>
      <c r="G46" s="24" t="s">
        <v>50</v>
      </c>
      <c r="H46" s="24" t="s">
        <v>19</v>
      </c>
      <c r="I46" s="24" t="s">
        <v>92</v>
      </c>
      <c r="J46" s="24" t="s">
        <v>80</v>
      </c>
      <c r="K46" s="24" t="s">
        <v>98</v>
      </c>
      <c r="L46" s="24" t="s">
        <v>104</v>
      </c>
      <c r="M46" s="24" t="s">
        <v>105</v>
      </c>
      <c r="N46" s="24"/>
      <c r="O46" s="24" t="s">
        <v>202</v>
      </c>
      <c r="P46" s="24"/>
      <c r="Q46" s="24" t="s">
        <v>132</v>
      </c>
      <c r="R46" s="24" t="s">
        <v>168</v>
      </c>
      <c r="S46" s="24" t="s">
        <v>187</v>
      </c>
      <c r="T46" s="24" t="s">
        <v>87</v>
      </c>
    </row>
  </sheetData>
  <autoFilter ref="A1:T46" xr:uid="{00000000-0009-0000-0000-000002000000}">
    <filterColumn colId="11">
      <filters>
        <filter val="Alarm var"/>
        <filter val="SVT Ready-kabul bekler"/>
      </filters>
    </filterColumn>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5G</vt:lpstr>
      <vt:lpstr>Sayfa2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 BEDİR</dc:creator>
  <cp:lastModifiedBy>Elis BEDİR</cp:lastModifiedBy>
  <cp:lastPrinted>2026-01-13T12:58:21Z</cp:lastPrinted>
  <dcterms:created xsi:type="dcterms:W3CDTF">2024-07-04T06:43:05Z</dcterms:created>
  <dcterms:modified xsi:type="dcterms:W3CDTF">2026-04-27T15:04:15Z</dcterms:modified>
</cp:coreProperties>
</file>